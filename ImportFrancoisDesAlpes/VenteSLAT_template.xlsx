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LAT_template" sheetId="1" state="visible" r:id="rId3"/>
    <sheet name="Feuil1" sheetId="2" state="visible" r:id="rId4"/>
  </sheets>
  <definedNames>
    <definedName function="false" hidden="true" localSheetId="1" name="_xlnm._FilterDatabase" vbProcedure="false">Feuil1!$A:$L</definedName>
    <definedName function="false" hidden="true" localSheetId="0" name="_xlnm._FilterDatabase" vbProcedure="false">VenteSLAT_template!$A$1:$Q$633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<sst xmlns="http://schemas.openxmlformats.org/spreadsheetml/2006/main" count="8914" uniqueCount="879">
  <si>
    <t xml:space="preserve">Id</t>
  </si>
  <si>
    <t xml:space="preserve">Matricule</t>
  </si>
  <si>
    <t xml:space="preserve">Nom</t>
  </si>
  <si>
    <t xml:space="preserve">Prenom</t>
  </si>
  <si>
    <t xml:space="preserve">emailPerso</t>
  </si>
  <si>
    <t xml:space="preserve">phoneNumber</t>
  </si>
  <si>
    <t xml:space="preserve">IBAN</t>
  </si>
  <si>
    <t xml:space="preserve">BIC</t>
  </si>
  <si>
    <t xml:space="preserve">TypeArticle</t>
  </si>
  <si>
    <t xml:space="preserve">MarqueArticle</t>
  </si>
  <si>
    <t xml:space="preserve">TailleArticle</t>
  </si>
  <si>
    <t xml:space="preserve">PrixArticle</t>
  </si>
  <si>
    <t xml:space="preserve">Lien</t>
  </si>
  <si>
    <t xml:space="preserve">Statut</t>
  </si>
  <si>
    <t xml:space="preserve">Origine</t>
  </si>
  <si>
    <t xml:space="preserve">CreatedTime</t>
  </si>
  <si>
    <t xml:space="preserve">ModifiedTime</t>
  </si>
  <si>
    <t xml:space="preserve">NULL</t>
  </si>
  <si>
    <t xml:space="preserve">Réceptionné</t>
  </si>
  <si>
    <t xml:space="preserve">FrancoisDesAlpes</t>
  </si>
  <si>
    <t xml:space="preserve">NUMÉRO</t>
  </si>
  <si>
    <t xml:space="preserve">MARQUE</t>
  </si>
  <si>
    <t xml:space="preserve">MODÈLE</t>
  </si>
  <si>
    <t xml:space="preserve">TAILLE</t>
  </si>
  <si>
    <t xml:space="preserve">PRIX</t>
  </si>
  <si>
    <t xml:space="preserve">GENRE</t>
  </si>
  <si>
    <t xml:space="preserve">25 (EU) / 16 (MP)</t>
  </si>
  <si>
    <t xml:space="preserve">MS52835</t>
  </si>
  <si>
    <t xml:space="preserve">Rossignol</t>
  </si>
  <si>
    <t xml:space="preserve">pursuit</t>
  </si>
  <si>
    <t xml:space="preserve">ski ad</t>
  </si>
  <si>
    <t xml:space="preserve">Skis Alpin </t>
  </si>
  <si>
    <t xml:space="preserve">26 (EU) / 16 (MP)</t>
  </si>
  <si>
    <t xml:space="preserve">MS52836</t>
  </si>
  <si>
    <t xml:space="preserve">ski ad w</t>
  </si>
  <si>
    <t xml:space="preserve">27 (EU) / 17 (MP)</t>
  </si>
  <si>
    <t xml:space="preserve">MS52837</t>
  </si>
  <si>
    <t xml:space="preserve">exp 86</t>
  </si>
  <si>
    <t xml:space="preserve">ski ad </t>
  </si>
  <si>
    <t xml:space="preserve">28 (EU) / 17 (MP)</t>
  </si>
  <si>
    <t xml:space="preserve">MS52838</t>
  </si>
  <si>
    <t xml:space="preserve">hero</t>
  </si>
  <si>
    <t xml:space="preserve">ski jr</t>
  </si>
  <si>
    <t xml:space="preserve">29 (EU) / 18 (MP)</t>
  </si>
  <si>
    <t xml:space="preserve">MS52839</t>
  </si>
  <si>
    <t xml:space="preserve">forza</t>
  </si>
  <si>
    <t xml:space="preserve">ch ad</t>
  </si>
  <si>
    <t xml:space="preserve">Chaussures Alpin </t>
  </si>
  <si>
    <t xml:space="preserve">30 (EU) / 19 (MP)</t>
  </si>
  <si>
    <t xml:space="preserve">MS52840</t>
  </si>
  <si>
    <t xml:space="preserve">react</t>
  </si>
  <si>
    <t xml:space="preserve">ch jr</t>
  </si>
  <si>
    <t xml:space="preserve">31 (EU) / 19 (MP)</t>
  </si>
  <si>
    <t xml:space="preserve">MS52841</t>
  </si>
  <si>
    <t xml:space="preserve">snowb</t>
  </si>
  <si>
    <t xml:space="preserve">Snowboard (avec fixation)</t>
  </si>
  <si>
    <t xml:space="preserve">32 (EU) / 20 (MP)</t>
  </si>
  <si>
    <t xml:space="preserve">MS52842</t>
  </si>
  <si>
    <t xml:space="preserve">ski rando</t>
  </si>
  <si>
    <t xml:space="preserve">Skis rando</t>
  </si>
  <si>
    <t xml:space="preserve">33 (EU) / 21 (MP)</t>
  </si>
  <si>
    <t xml:space="preserve">MS52843</t>
  </si>
  <si>
    <t xml:space="preserve">wc8</t>
  </si>
  <si>
    <t xml:space="preserve">boots</t>
  </si>
  <si>
    <t xml:space="preserve">Chaussures Snowboard</t>
  </si>
  <si>
    <t xml:space="preserve">34 (EU) / 21 (MP)</t>
  </si>
  <si>
    <t xml:space="preserve">MS52844</t>
  </si>
  <si>
    <t xml:space="preserve">35 (EU) / 22 (MP)</t>
  </si>
  <si>
    <t xml:space="preserve">MS52845</t>
  </si>
  <si>
    <t xml:space="preserve">36 (EU) / 23 (MP)</t>
  </si>
  <si>
    <t xml:space="preserve">MS52846</t>
  </si>
  <si>
    <t xml:space="preserve">37 (EU) / 23 (MP)</t>
  </si>
  <si>
    <t xml:space="preserve">MS52847</t>
  </si>
  <si>
    <t xml:space="preserve">volkl</t>
  </si>
  <si>
    <t xml:space="preserve">rtm</t>
  </si>
  <si>
    <t xml:space="preserve">38 (EU) / 24 (MP)</t>
  </si>
  <si>
    <t xml:space="preserve">MS52848</t>
  </si>
  <si>
    <t xml:space="preserve">deacon</t>
  </si>
  <si>
    <t xml:space="preserve">39 (EU) / 25 (MP)</t>
  </si>
  <si>
    <t xml:space="preserve">MS52849</t>
  </si>
  <si>
    <t xml:space="preserve">40 (EU) / 25 (MP)</t>
  </si>
  <si>
    <t xml:space="preserve">MS52850</t>
  </si>
  <si>
    <t xml:space="preserve">41 (EU) / 26 (MP)</t>
  </si>
  <si>
    <t xml:space="preserve">MS52851</t>
  </si>
  <si>
    <t xml:space="preserve">42 (EU) / 26 (MP)</t>
  </si>
  <si>
    <t xml:space="preserve">MS52852</t>
  </si>
  <si>
    <t xml:space="preserve">42.5 (EU) / 27 (MP)</t>
  </si>
  <si>
    <t xml:space="preserve">MS52853</t>
  </si>
  <si>
    <t xml:space="preserve">43 (EU) / 27 (MP)</t>
  </si>
  <si>
    <t xml:space="preserve">MS52854</t>
  </si>
  <si>
    <t xml:space="preserve">44 (EU) / 28 (MP)</t>
  </si>
  <si>
    <t xml:space="preserve">MS52855</t>
  </si>
  <si>
    <t xml:space="preserve">44.5 (EU) / 28 (MP)</t>
  </si>
  <si>
    <t xml:space="preserve">MS52856</t>
  </si>
  <si>
    <t xml:space="preserve">45 (EU) / 29 (MP)</t>
  </si>
  <si>
    <t xml:space="preserve">MS52857</t>
  </si>
  <si>
    <t xml:space="preserve">exp 80</t>
  </si>
  <si>
    <t xml:space="preserve">46 (EU) / 29 (MP)</t>
  </si>
  <si>
    <t xml:space="preserve">MS52858</t>
  </si>
  <si>
    <t xml:space="preserve">47 (EU) / 30 (MP)</t>
  </si>
  <si>
    <t xml:space="preserve">MS52859</t>
  </si>
  <si>
    <t xml:space="preserve">47.5 (EU) / 30 (MP)</t>
  </si>
  <si>
    <t xml:space="preserve">MS52860</t>
  </si>
  <si>
    <t xml:space="preserve">48 (EU) / 31 (MP)</t>
  </si>
  <si>
    <t xml:space="preserve">MS52861</t>
  </si>
  <si>
    <t xml:space="preserve">dynastar</t>
  </si>
  <si>
    <t xml:space="preserve">speed 4x4</t>
  </si>
  <si>
    <t xml:space="preserve">MS52862</t>
  </si>
  <si>
    <t xml:space="preserve">MS52863</t>
  </si>
  <si>
    <t xml:space="preserve">speed z10</t>
  </si>
  <si>
    <t xml:space="preserve">MS52864</t>
  </si>
  <si>
    <t xml:space="preserve">elan</t>
  </si>
  <si>
    <t xml:space="preserve">ripstick</t>
  </si>
  <si>
    <t xml:space="preserve">MS52865</t>
  </si>
  <si>
    <t xml:space="preserve">MS52866</t>
  </si>
  <si>
    <t xml:space="preserve">amphibio</t>
  </si>
  <si>
    <t xml:space="preserve">MS52867</t>
  </si>
  <si>
    <t xml:space="preserve">MS52868</t>
  </si>
  <si>
    <t xml:space="preserve">MS52869</t>
  </si>
  <si>
    <t xml:space="preserve">MS52870</t>
  </si>
  <si>
    <t xml:space="preserve">MS52871</t>
  </si>
  <si>
    <t xml:space="preserve">MS52872</t>
  </si>
  <si>
    <t xml:space="preserve">MS52873</t>
  </si>
  <si>
    <t xml:space="preserve">MS52874</t>
  </si>
  <si>
    <t xml:space="preserve">element</t>
  </si>
  <si>
    <t xml:space="preserve">MS52875</t>
  </si>
  <si>
    <t xml:space="preserve">explorer</t>
  </si>
  <si>
    <t xml:space="preserve">MS52876</t>
  </si>
  <si>
    <t xml:space="preserve">wingam</t>
  </si>
  <si>
    <t xml:space="preserve">MS52877</t>
  </si>
  <si>
    <t xml:space="preserve">inspire</t>
  </si>
  <si>
    <t xml:space="preserve">MS52878</t>
  </si>
  <si>
    <t xml:space="preserve">Salomon</t>
  </si>
  <si>
    <t xml:space="preserve">xdr</t>
  </si>
  <si>
    <t xml:space="preserve">MS52879</t>
  </si>
  <si>
    <t xml:space="preserve">MS52880</t>
  </si>
  <si>
    <t xml:space="preserve">MS52881</t>
  </si>
  <si>
    <t xml:space="preserve">MS52882</t>
  </si>
  <si>
    <t xml:space="preserve">max</t>
  </si>
  <si>
    <t xml:space="preserve">MS52883</t>
  </si>
  <si>
    <t xml:space="preserve">MS52884</t>
  </si>
  <si>
    <t xml:space="preserve">MS52885</t>
  </si>
  <si>
    <t xml:space="preserve">MS52886</t>
  </si>
  <si>
    <t xml:space="preserve">force</t>
  </si>
  <si>
    <t xml:space="preserve">MS52887</t>
  </si>
  <si>
    <t xml:space="preserve">addict</t>
  </si>
  <si>
    <t xml:space="preserve">MS52888</t>
  </si>
  <si>
    <t xml:space="preserve">stance</t>
  </si>
  <si>
    <t xml:space="preserve">MS52889</t>
  </si>
  <si>
    <t xml:space="preserve">Nordica</t>
  </si>
  <si>
    <t xml:space="preserve">spitfire</t>
  </si>
  <si>
    <t xml:space="preserve">MS52890</t>
  </si>
  <si>
    <t xml:space="preserve">MS52891</t>
  </si>
  <si>
    <t xml:space="preserve">MS52892</t>
  </si>
  <si>
    <t xml:space="preserve">MS52893</t>
  </si>
  <si>
    <t xml:space="preserve">MS52894</t>
  </si>
  <si>
    <t xml:space="preserve">MS52895</t>
  </si>
  <si>
    <t xml:space="preserve">MS52896</t>
  </si>
  <si>
    <t xml:space="preserve">kendo</t>
  </si>
  <si>
    <t xml:space="preserve">MS52897</t>
  </si>
  <si>
    <t xml:space="preserve">MS52898</t>
  </si>
  <si>
    <t xml:space="preserve">MS52899</t>
  </si>
  <si>
    <t xml:space="preserve">exp</t>
  </si>
  <si>
    <t xml:space="preserve">MS52900</t>
  </si>
  <si>
    <t xml:space="preserve">speed 10</t>
  </si>
  <si>
    <t xml:space="preserve">MS52901</t>
  </si>
  <si>
    <t xml:space="preserve">MS52902</t>
  </si>
  <si>
    <t xml:space="preserve">MS52903</t>
  </si>
  <si>
    <t xml:space="preserve">MS52904</t>
  </si>
  <si>
    <t xml:space="preserve">MS52905</t>
  </si>
  <si>
    <t xml:space="preserve">MS52906</t>
  </si>
  <si>
    <t xml:space="preserve">MS52907</t>
  </si>
  <si>
    <t xml:space="preserve">MS52908</t>
  </si>
  <si>
    <t xml:space="preserve">MS52909</t>
  </si>
  <si>
    <t xml:space="preserve">legend</t>
  </si>
  <si>
    <t xml:space="preserve">MS52910</t>
  </si>
  <si>
    <t xml:space="preserve">intense 10</t>
  </si>
  <si>
    <t xml:space="preserve">MS52911</t>
  </si>
  <si>
    <t xml:space="preserve">MS52912</t>
  </si>
  <si>
    <t xml:space="preserve">speed 11</t>
  </si>
  <si>
    <t xml:space="preserve">MS52913</t>
  </si>
  <si>
    <t xml:space="preserve">exp 84</t>
  </si>
  <si>
    <t xml:space="preserve">MS52914</t>
  </si>
  <si>
    <t xml:space="preserve">MS52915</t>
  </si>
  <si>
    <t xml:space="preserve">MS52916</t>
  </si>
  <si>
    <t xml:space="preserve">lacroix</t>
  </si>
  <si>
    <t xml:space="preserve">Lx</t>
  </si>
  <si>
    <t xml:space="preserve">MS52917</t>
  </si>
  <si>
    <t xml:space="preserve">MS52918</t>
  </si>
  <si>
    <t xml:space="preserve">MS52919</t>
  </si>
  <si>
    <t xml:space="preserve">MS52920</t>
  </si>
  <si>
    <t xml:space="preserve">atomic</t>
  </si>
  <si>
    <t xml:space="preserve">ventage</t>
  </si>
  <si>
    <t xml:space="preserve">MS52921</t>
  </si>
  <si>
    <t xml:space="preserve">redster</t>
  </si>
  <si>
    <t xml:space="preserve">MS52922</t>
  </si>
  <si>
    <t xml:space="preserve">glory</t>
  </si>
  <si>
    <t xml:space="preserve">MS52923</t>
  </si>
  <si>
    <t xml:space="preserve">MS52924</t>
  </si>
  <si>
    <t xml:space="preserve">intense 8</t>
  </si>
  <si>
    <t xml:space="preserve">MS52925</t>
  </si>
  <si>
    <t xml:space="preserve">MS52926</t>
  </si>
  <si>
    <t xml:space="preserve">MS52927</t>
  </si>
  <si>
    <t xml:space="preserve">MS52928</t>
  </si>
  <si>
    <t xml:space="preserve">MS52929</t>
  </si>
  <si>
    <t xml:space="preserve">MS52930</t>
  </si>
  <si>
    <t xml:space="preserve">speed gt</t>
  </si>
  <si>
    <t xml:space="preserve">MS52931</t>
  </si>
  <si>
    <t xml:space="preserve">intense</t>
  </si>
  <si>
    <t xml:space="preserve">MS52932</t>
  </si>
  <si>
    <t xml:space="preserve">famous</t>
  </si>
  <si>
    <t xml:space="preserve">MS52933</t>
  </si>
  <si>
    <t xml:space="preserve">MS52934</t>
  </si>
  <si>
    <t xml:space="preserve">MS52935</t>
  </si>
  <si>
    <t xml:space="preserve">MS52936</t>
  </si>
  <si>
    <t xml:space="preserve">MS52937</t>
  </si>
  <si>
    <t xml:space="preserve">nova 10</t>
  </si>
  <si>
    <t xml:space="preserve">MS52938</t>
  </si>
  <si>
    <t xml:space="preserve">MS52939</t>
  </si>
  <si>
    <t xml:space="preserve">MS52940</t>
  </si>
  <si>
    <t xml:space="preserve">MS52941</t>
  </si>
  <si>
    <t xml:space="preserve">MS52942</t>
  </si>
  <si>
    <t xml:space="preserve">MS52943</t>
  </si>
  <si>
    <t xml:space="preserve">flair</t>
  </si>
  <si>
    <t xml:space="preserve">MS52944</t>
  </si>
  <si>
    <t xml:space="preserve">MS52945</t>
  </si>
  <si>
    <t xml:space="preserve">MS52946</t>
  </si>
  <si>
    <t xml:space="preserve">MS52947</t>
  </si>
  <si>
    <t xml:space="preserve">MS52948</t>
  </si>
  <si>
    <t xml:space="preserve">MS52949</t>
  </si>
  <si>
    <t xml:space="preserve">MS52950</t>
  </si>
  <si>
    <t xml:space="preserve">MS52951</t>
  </si>
  <si>
    <t xml:space="preserve">MS52952</t>
  </si>
  <si>
    <t xml:space="preserve">snow</t>
  </si>
  <si>
    <t xml:space="preserve">MS52953</t>
  </si>
  <si>
    <t xml:space="preserve">MS52954</t>
  </si>
  <si>
    <t xml:space="preserve">MS52955</t>
  </si>
  <si>
    <t xml:space="preserve">astra</t>
  </si>
  <si>
    <t xml:space="preserve">MS52956</t>
  </si>
  <si>
    <t xml:space="preserve">MS52957</t>
  </si>
  <si>
    <t xml:space="preserve">head</t>
  </si>
  <si>
    <t xml:space="preserve">joy</t>
  </si>
  <si>
    <t xml:space="preserve">MS52958</t>
  </si>
  <si>
    <t xml:space="preserve">MS52959</t>
  </si>
  <si>
    <t xml:space="preserve">MS52960</t>
  </si>
  <si>
    <t xml:space="preserve">MS52961</t>
  </si>
  <si>
    <t xml:space="preserve">MS52962</t>
  </si>
  <si>
    <t xml:space="preserve">MS52963</t>
  </si>
  <si>
    <t xml:space="preserve">MS52964</t>
  </si>
  <si>
    <t xml:space="preserve">MS52965</t>
  </si>
  <si>
    <t xml:space="preserve">MS52966</t>
  </si>
  <si>
    <t xml:space="preserve">MS52967</t>
  </si>
  <si>
    <t xml:space="preserve">MS52968</t>
  </si>
  <si>
    <t xml:space="preserve">MS52969</t>
  </si>
  <si>
    <t xml:space="preserve">MS52970</t>
  </si>
  <si>
    <t xml:space="preserve">MS52971</t>
  </si>
  <si>
    <t xml:space="preserve">m free</t>
  </si>
  <si>
    <t xml:space="preserve">MS52972</t>
  </si>
  <si>
    <t xml:space="preserve">MS52973</t>
  </si>
  <si>
    <t xml:space="preserve">MS52974</t>
  </si>
  <si>
    <t xml:space="preserve">MS52975</t>
  </si>
  <si>
    <t xml:space="preserve">speed sh</t>
  </si>
  <si>
    <t xml:space="preserve">MS52976</t>
  </si>
  <si>
    <t xml:space="preserve">blizzard</t>
  </si>
  <si>
    <t xml:space="preserve">BP</t>
  </si>
  <si>
    <t xml:space="preserve">MS52977</t>
  </si>
  <si>
    <t xml:space="preserve">MS52978</t>
  </si>
  <si>
    <t xml:space="preserve">raceT</t>
  </si>
  <si>
    <t xml:space="preserve">MS52979</t>
  </si>
  <si>
    <t xml:space="preserve">MS52980</t>
  </si>
  <si>
    <t xml:space="preserve">MS52981</t>
  </si>
  <si>
    <t xml:space="preserve">MS52982</t>
  </si>
  <si>
    <t xml:space="preserve">MS52983</t>
  </si>
  <si>
    <t xml:space="preserve">MS52984</t>
  </si>
  <si>
    <t xml:space="preserve">MS52985</t>
  </si>
  <si>
    <t xml:space="preserve">MS52986</t>
  </si>
  <si>
    <t xml:space="preserve">MS52987</t>
  </si>
  <si>
    <t xml:space="preserve">MS52988</t>
  </si>
  <si>
    <t xml:space="preserve">spayer</t>
  </si>
  <si>
    <t xml:space="preserve">MS52989</t>
  </si>
  <si>
    <t xml:space="preserve">MS52990</t>
  </si>
  <si>
    <t xml:space="preserve">diva</t>
  </si>
  <si>
    <t xml:space="preserve">MS52991</t>
  </si>
  <si>
    <t xml:space="preserve">speed</t>
  </si>
  <si>
    <t xml:space="preserve">MS52992</t>
  </si>
  <si>
    <t xml:space="preserve">MS52993</t>
  </si>
  <si>
    <t xml:space="preserve">MS52994</t>
  </si>
  <si>
    <t xml:space="preserve">MS52995</t>
  </si>
  <si>
    <t xml:space="preserve">MS52996</t>
  </si>
  <si>
    <t xml:space="preserve">rc</t>
  </si>
  <si>
    <t xml:space="preserve">MS52997</t>
  </si>
  <si>
    <t xml:space="preserve">super shape</t>
  </si>
  <si>
    <t xml:space="preserve">MS52998</t>
  </si>
  <si>
    <t xml:space="preserve">fisher</t>
  </si>
  <si>
    <t xml:space="preserve">rc4</t>
  </si>
  <si>
    <t xml:space="preserve">MS52999</t>
  </si>
  <si>
    <t xml:space="preserve">rc5</t>
  </si>
  <si>
    <t xml:space="preserve">MS53000</t>
  </si>
  <si>
    <t xml:space="preserve">twist</t>
  </si>
  <si>
    <t xml:space="preserve">MS53001</t>
  </si>
  <si>
    <t xml:space="preserve">MS53002</t>
  </si>
  <si>
    <t xml:space="preserve">pro</t>
  </si>
  <si>
    <t xml:space="preserve">MS53003</t>
  </si>
  <si>
    <t xml:space="preserve">MS53004</t>
  </si>
  <si>
    <t xml:space="preserve">MS53005</t>
  </si>
  <si>
    <t xml:space="preserve">MS53006</t>
  </si>
  <si>
    <t xml:space="preserve">MS53007</t>
  </si>
  <si>
    <t xml:space="preserve">MS53008</t>
  </si>
  <si>
    <t xml:space="preserve">MS53009</t>
  </si>
  <si>
    <t xml:space="preserve">MS53010</t>
  </si>
  <si>
    <t xml:space="preserve">MS53011</t>
  </si>
  <si>
    <t xml:space="preserve">MS53012</t>
  </si>
  <si>
    <t xml:space="preserve">MS53013</t>
  </si>
  <si>
    <t xml:space="preserve">fungirl</t>
  </si>
  <si>
    <t xml:space="preserve">MS53014</t>
  </si>
  <si>
    <t xml:space="preserve">curv</t>
  </si>
  <si>
    <t xml:space="preserve">MS53015</t>
  </si>
  <si>
    <t xml:space="preserve">MS53016</t>
  </si>
  <si>
    <t xml:space="preserve">MS53017</t>
  </si>
  <si>
    <t xml:space="preserve">MS53018</t>
  </si>
  <si>
    <t xml:space="preserve">MS53019</t>
  </si>
  <si>
    <t xml:space="preserve">MS53020</t>
  </si>
  <si>
    <t xml:space="preserve">MS53021</t>
  </si>
  <si>
    <t xml:space="preserve">spice</t>
  </si>
  <si>
    <t xml:space="preserve">MS53022</t>
  </si>
  <si>
    <t xml:space="preserve">etl</t>
  </si>
  <si>
    <t xml:space="preserve">MS53023</t>
  </si>
  <si>
    <t xml:space="preserve">SP</t>
  </si>
  <si>
    <t xml:space="preserve">MS53024</t>
  </si>
  <si>
    <t xml:space="preserve">koa</t>
  </si>
  <si>
    <t xml:space="preserve">MS53025</t>
  </si>
  <si>
    <t xml:space="preserve">slider</t>
  </si>
  <si>
    <t xml:space="preserve">MS53544</t>
  </si>
  <si>
    <t xml:space="preserve">j2-</t>
  </si>
  <si>
    <t xml:space="preserve">MS53545</t>
  </si>
  <si>
    <t xml:space="preserve">MS53546</t>
  </si>
  <si>
    <t xml:space="preserve">MS53547</t>
  </si>
  <si>
    <t xml:space="preserve">fischer</t>
  </si>
  <si>
    <t xml:space="preserve">MS53548</t>
  </si>
  <si>
    <t xml:space="preserve">MS53549</t>
  </si>
  <si>
    <t xml:space="preserve">rc6</t>
  </si>
  <si>
    <t xml:space="preserve">MS53550</t>
  </si>
  <si>
    <t xml:space="preserve">MS53551</t>
  </si>
  <si>
    <t xml:space="preserve">MS53552</t>
  </si>
  <si>
    <t xml:space="preserve">MS53553</t>
  </si>
  <si>
    <t xml:space="preserve">MS53554</t>
  </si>
  <si>
    <t xml:space="preserve">MS53555</t>
  </si>
  <si>
    <t xml:space="preserve">MS53556</t>
  </si>
  <si>
    <t xml:space="preserve">MS53557</t>
  </si>
  <si>
    <t xml:space="preserve">MS53558</t>
  </si>
  <si>
    <t xml:space="preserve">MS53559</t>
  </si>
  <si>
    <t xml:space="preserve">MS53560</t>
  </si>
  <si>
    <t xml:space="preserve">temp</t>
  </si>
  <si>
    <t xml:space="preserve">MS53561</t>
  </si>
  <si>
    <t xml:space="preserve">MS53562</t>
  </si>
  <si>
    <t xml:space="preserve">MS53563</t>
  </si>
  <si>
    <t xml:space="preserve">star wars</t>
  </si>
  <si>
    <t xml:space="preserve">MS53564</t>
  </si>
  <si>
    <t xml:space="preserve">nordica</t>
  </si>
  <si>
    <t xml:space="preserve">jr</t>
  </si>
  <si>
    <t xml:space="preserve">MS53565</t>
  </si>
  <si>
    <t xml:space="preserve">chica</t>
  </si>
  <si>
    <t xml:space="preserve">MS53566</t>
  </si>
  <si>
    <t xml:space="preserve">MS53567</t>
  </si>
  <si>
    <t xml:space="preserve">MS53962</t>
  </si>
  <si>
    <t xml:space="preserve">redster </t>
  </si>
  <si>
    <t xml:space="preserve">MS53963</t>
  </si>
  <si>
    <t xml:space="preserve">MS53964</t>
  </si>
  <si>
    <t xml:space="preserve">rossignol</t>
  </si>
  <si>
    <t xml:space="preserve">MS53965</t>
  </si>
  <si>
    <t xml:space="preserve">MS53966</t>
  </si>
  <si>
    <t xml:space="preserve">MS53967</t>
  </si>
  <si>
    <t xml:space="preserve">MS53968</t>
  </si>
  <si>
    <t xml:space="preserve">MS53969</t>
  </si>
  <si>
    <t xml:space="preserve">MS53970</t>
  </si>
  <si>
    <t xml:space="preserve">MS53971</t>
  </si>
  <si>
    <t xml:space="preserve">MS53972</t>
  </si>
  <si>
    <t xml:space="preserve">MS53973</t>
  </si>
  <si>
    <t xml:space="preserve">MS53974</t>
  </si>
  <si>
    <t xml:space="preserve">MS53975</t>
  </si>
  <si>
    <t xml:space="preserve">MS53976</t>
  </si>
  <si>
    <t xml:space="preserve">MS53977</t>
  </si>
  <si>
    <t xml:space="preserve">bonafide</t>
  </si>
  <si>
    <t xml:space="preserve">MS53978</t>
  </si>
  <si>
    <t xml:space="preserve">scott</t>
  </si>
  <si>
    <t xml:space="preserve">stuf</t>
  </si>
  <si>
    <t xml:space="preserve">MS53979</t>
  </si>
  <si>
    <t xml:space="preserve">MS53980</t>
  </si>
  <si>
    <t xml:space="preserve">vantage</t>
  </si>
  <si>
    <t xml:space="preserve">MS53981</t>
  </si>
  <si>
    <t xml:space="preserve">MS53982</t>
  </si>
  <si>
    <t xml:space="preserve">comp</t>
  </si>
  <si>
    <t xml:space="preserve">MS53983</t>
  </si>
  <si>
    <t xml:space="preserve">team</t>
  </si>
  <si>
    <t xml:space="preserve">MS53984</t>
  </si>
  <si>
    <t xml:space="preserve">MS53985</t>
  </si>
  <si>
    <t xml:space="preserve">MS53986</t>
  </si>
  <si>
    <t xml:space="preserve">k2</t>
  </si>
  <si>
    <t xml:space="preserve">indy</t>
  </si>
  <si>
    <t xml:space="preserve">MS53987</t>
  </si>
  <si>
    <t xml:space="preserve">MS53988</t>
  </si>
  <si>
    <t xml:space="preserve">MS53989</t>
  </si>
  <si>
    <t xml:space="preserve">MS53990</t>
  </si>
  <si>
    <t xml:space="preserve">fun girl</t>
  </si>
  <si>
    <t xml:space="preserve">MS53991</t>
  </si>
  <si>
    <t xml:space="preserve">MS53992</t>
  </si>
  <si>
    <t xml:space="preserve">weedze</t>
  </si>
  <si>
    <t xml:space="preserve">bee</t>
  </si>
  <si>
    <t xml:space="preserve">MS53993</t>
  </si>
  <si>
    <t xml:space="preserve">xt</t>
  </si>
  <si>
    <t xml:space="preserve">MS53994</t>
  </si>
  <si>
    <t xml:space="preserve">MS53995</t>
  </si>
  <si>
    <t xml:space="preserve">progressor</t>
  </si>
  <si>
    <t xml:space="preserve">MS53996</t>
  </si>
  <si>
    <t xml:space="preserve">booster</t>
  </si>
  <si>
    <t xml:space="preserve">MS53997</t>
  </si>
  <si>
    <t xml:space="preserve">dynamic</t>
  </si>
  <si>
    <t xml:space="preserve">s40</t>
  </si>
  <si>
    <t xml:space="preserve">MS53998</t>
  </si>
  <si>
    <t xml:space="preserve">MS53999</t>
  </si>
  <si>
    <t xml:space="preserve">MS54000</t>
  </si>
  <si>
    <t xml:space="preserve">MS54001</t>
  </si>
  <si>
    <t xml:space="preserve">MS54002</t>
  </si>
  <si>
    <t xml:space="preserve">one b</t>
  </si>
  <si>
    <t xml:space="preserve">MS54003</t>
  </si>
  <si>
    <t xml:space="preserve">MS54004</t>
  </si>
  <si>
    <t xml:space="preserve">MS54005</t>
  </si>
  <si>
    <t xml:space="preserve">MS54006</t>
  </si>
  <si>
    <t xml:space="preserve">MS54007</t>
  </si>
  <si>
    <t xml:space="preserve">MS54008</t>
  </si>
  <si>
    <t xml:space="preserve">MS54009</t>
  </si>
  <si>
    <t xml:space="preserve">cham</t>
  </si>
  <si>
    <t xml:space="preserve">MS54010</t>
  </si>
  <si>
    <t xml:space="preserve">MS54011</t>
  </si>
  <si>
    <t xml:space="preserve">starlett</t>
  </si>
  <si>
    <t xml:space="preserve">MS54012</t>
  </si>
  <si>
    <t xml:space="preserve">MS54013</t>
  </si>
  <si>
    <t xml:space="preserve">salsa</t>
  </si>
  <si>
    <t xml:space="preserve">MS54014</t>
  </si>
  <si>
    <t xml:space="preserve">starwars</t>
  </si>
  <si>
    <t xml:space="preserve">MS54015</t>
  </si>
  <si>
    <t xml:space="preserve">MS54016</t>
  </si>
  <si>
    <t xml:space="preserve">wedze</t>
  </si>
  <si>
    <t xml:space="preserve">MS54017</t>
  </si>
  <si>
    <t xml:space="preserve">salomon</t>
  </si>
  <si>
    <t xml:space="preserve">candy</t>
  </si>
  <si>
    <t xml:space="preserve">MS54018</t>
  </si>
  <si>
    <t xml:space="preserve">MS54019</t>
  </si>
  <si>
    <t xml:space="preserve">MS54020</t>
  </si>
  <si>
    <t xml:space="preserve">rs</t>
  </si>
  <si>
    <t xml:space="preserve">MS54021</t>
  </si>
  <si>
    <t xml:space="preserve">one</t>
  </si>
  <si>
    <t xml:space="preserve">MS54022</t>
  </si>
  <si>
    <t xml:space="preserve">MS54023</t>
  </si>
  <si>
    <t xml:space="preserve">jade</t>
  </si>
  <si>
    <t xml:space="preserve">MS54024</t>
  </si>
  <si>
    <t xml:space="preserve">MS54025</t>
  </si>
  <si>
    <t xml:space="preserve">kidi</t>
  </si>
  <si>
    <t xml:space="preserve">MS54026</t>
  </si>
  <si>
    <t xml:space="preserve">MS54027</t>
  </si>
  <si>
    <t xml:space="preserve">MS54028</t>
  </si>
  <si>
    <t xml:space="preserve">MS54029</t>
  </si>
  <si>
    <t xml:space="preserve">MS54030</t>
  </si>
  <si>
    <t xml:space="preserve">MS54031</t>
  </si>
  <si>
    <t xml:space="preserve">MS54032</t>
  </si>
  <si>
    <t xml:space="preserve">MS54033</t>
  </si>
  <si>
    <t xml:space="preserve">MS54034</t>
  </si>
  <si>
    <t xml:space="preserve">xo</t>
  </si>
  <si>
    <t xml:space="preserve">MS54035</t>
  </si>
  <si>
    <t xml:space="preserve">MS54036</t>
  </si>
  <si>
    <t xml:space="preserve">menace</t>
  </si>
  <si>
    <t xml:space="preserve">MS54037</t>
  </si>
  <si>
    <t xml:space="preserve">M free</t>
  </si>
  <si>
    <t xml:space="preserve">MS54038</t>
  </si>
  <si>
    <t xml:space="preserve">MS54039</t>
  </si>
  <si>
    <t xml:space="preserve">MS54040</t>
  </si>
  <si>
    <t xml:space="preserve">MS54041</t>
  </si>
  <si>
    <t xml:space="preserve">kastle</t>
  </si>
  <si>
    <t xml:space="preserve">proto</t>
  </si>
  <si>
    <t xml:space="preserve">MS54042</t>
  </si>
  <si>
    <t xml:space="preserve">MS54043</t>
  </si>
  <si>
    <t xml:space="preserve">MS54044</t>
  </si>
  <si>
    <t xml:space="preserve">MS54045</t>
  </si>
  <si>
    <t xml:space="preserve">mach</t>
  </si>
  <si>
    <t xml:space="preserve">MS54046</t>
  </si>
  <si>
    <t xml:space="preserve">g7</t>
  </si>
  <si>
    <t xml:space="preserve">MS54047</t>
  </si>
  <si>
    <t xml:space="preserve">yumi</t>
  </si>
  <si>
    <t xml:space="preserve">MS54048</t>
  </si>
  <si>
    <t xml:space="preserve">hawks</t>
  </si>
  <si>
    <t xml:space="preserve">MS54049</t>
  </si>
  <si>
    <t xml:space="preserve">MS54050</t>
  </si>
  <si>
    <t xml:space="preserve">lange</t>
  </si>
  <si>
    <t xml:space="preserve">sx</t>
  </si>
  <si>
    <t xml:space="preserve">MS54051</t>
  </si>
  <si>
    <t xml:space="preserve">MS54052</t>
  </si>
  <si>
    <t xml:space="preserve">sport</t>
  </si>
  <si>
    <t xml:space="preserve">MS54053</t>
  </si>
  <si>
    <t xml:space="preserve">MS54054</t>
  </si>
  <si>
    <t xml:space="preserve">dalbello</t>
  </si>
  <si>
    <t xml:space="preserve">MS54055</t>
  </si>
  <si>
    <t xml:space="preserve">lyt</t>
  </si>
  <si>
    <t xml:space="preserve">MS54056</t>
  </si>
  <si>
    <t xml:space="preserve">lx</t>
  </si>
  <si>
    <t xml:space="preserve">MS54057</t>
  </si>
  <si>
    <t xml:space="preserve">tecnica</t>
  </si>
  <si>
    <t xml:space="preserve">MS54058</t>
  </si>
  <si>
    <t xml:space="preserve">MS54059</t>
  </si>
  <si>
    <t xml:space="preserve">rx</t>
  </si>
  <si>
    <t xml:space="preserve">MS54060</t>
  </si>
  <si>
    <t xml:space="preserve">xpro</t>
  </si>
  <si>
    <t xml:space="preserve">MS54061</t>
  </si>
  <si>
    <t xml:space="preserve">alltrack</t>
  </si>
  <si>
    <t xml:space="preserve">MS54062</t>
  </si>
  <si>
    <t xml:space="preserve">MS54063</t>
  </si>
  <si>
    <t xml:space="preserve">roxa</t>
  </si>
  <si>
    <t xml:space="preserve">pro fit</t>
  </si>
  <si>
    <t xml:space="preserve">MS54064</t>
  </si>
  <si>
    <t xml:space="preserve">MS54065</t>
  </si>
  <si>
    <t xml:space="preserve">MS54066</t>
  </si>
  <si>
    <t xml:space="preserve">MS54067</t>
  </si>
  <si>
    <t xml:space="preserve">MS54068</t>
  </si>
  <si>
    <t xml:space="preserve">MS54069</t>
  </si>
  <si>
    <t xml:space="preserve">MS54070</t>
  </si>
  <si>
    <t xml:space="preserve">MS54071</t>
  </si>
  <si>
    <t xml:space="preserve">sensor</t>
  </si>
  <si>
    <t xml:space="preserve">MS54072</t>
  </si>
  <si>
    <t xml:space="preserve">MS54073</t>
  </si>
  <si>
    <t xml:space="preserve">MS54074</t>
  </si>
  <si>
    <t xml:space="preserve">MS54075</t>
  </si>
  <si>
    <t xml:space="preserve">gpx</t>
  </si>
  <si>
    <t xml:space="preserve">MS54076</t>
  </si>
  <si>
    <t xml:space="preserve">MS54077</t>
  </si>
  <si>
    <t xml:space="preserve">MS54078</t>
  </si>
  <si>
    <t xml:space="preserve">MS54079</t>
  </si>
  <si>
    <t xml:space="preserve">MS54080</t>
  </si>
  <si>
    <t xml:space="preserve">MS54081</t>
  </si>
  <si>
    <t xml:space="preserve">spro</t>
  </si>
  <si>
    <t xml:space="preserve">MS54082</t>
  </si>
  <si>
    <t xml:space="preserve">MS54083</t>
  </si>
  <si>
    <t xml:space="preserve">MS54084</t>
  </si>
  <si>
    <t xml:space="preserve">MS54085</t>
  </si>
  <si>
    <t xml:space="preserve">acces</t>
  </si>
  <si>
    <t xml:space="preserve">MS54086</t>
  </si>
  <si>
    <t xml:space="preserve">MS54087</t>
  </si>
  <si>
    <t xml:space="preserve">MS54088</t>
  </si>
  <si>
    <t xml:space="preserve">MS54089</t>
  </si>
  <si>
    <t xml:space="preserve">fit</t>
  </si>
  <si>
    <t xml:space="preserve">MS54090</t>
  </si>
  <si>
    <t xml:space="preserve">MS54091</t>
  </si>
  <si>
    <t xml:space="preserve">MS54092</t>
  </si>
  <si>
    <t xml:space="preserve">MS54093</t>
  </si>
  <si>
    <t xml:space="preserve">MS54094</t>
  </si>
  <si>
    <t xml:space="preserve">MS54095</t>
  </si>
  <si>
    <t xml:space="preserve">MS54096</t>
  </si>
  <si>
    <t xml:space="preserve">MS54097</t>
  </si>
  <si>
    <t xml:space="preserve">ltd</t>
  </si>
  <si>
    <t xml:space="preserve">MS54098</t>
  </si>
  <si>
    <t xml:space="preserve">MS54099</t>
  </si>
  <si>
    <t xml:space="preserve">MS54100</t>
  </si>
  <si>
    <t xml:space="preserve">MS54101</t>
  </si>
  <si>
    <t xml:space="preserve">MS54102</t>
  </si>
  <si>
    <t xml:space="preserve">viper</t>
  </si>
  <si>
    <t xml:space="preserve">MS54103</t>
  </si>
  <si>
    <t xml:space="preserve">MS54104</t>
  </si>
  <si>
    <t xml:space="preserve">MS54105</t>
  </si>
  <si>
    <t xml:space="preserve">MS54106</t>
  </si>
  <si>
    <t xml:space="preserve">MS54107</t>
  </si>
  <si>
    <t xml:space="preserve">MS54108</t>
  </si>
  <si>
    <t xml:space="preserve">MS54109</t>
  </si>
  <si>
    <t xml:space="preserve">select</t>
  </si>
  <si>
    <t xml:space="preserve">MS54110</t>
  </si>
  <si>
    <t xml:space="preserve">MS54111</t>
  </si>
  <si>
    <t xml:space="preserve">MS54112</t>
  </si>
  <si>
    <t xml:space="preserve">MS54113</t>
  </si>
  <si>
    <t xml:space="preserve">MS54114</t>
  </si>
  <si>
    <t xml:space="preserve">MS54115</t>
  </si>
  <si>
    <t xml:space="preserve">MS54116</t>
  </si>
  <si>
    <t xml:space="preserve">access</t>
  </si>
  <si>
    <t xml:space="preserve">MS54117</t>
  </si>
  <si>
    <t xml:space="preserve">pure</t>
  </si>
  <si>
    <t xml:space="preserve">MS54118</t>
  </si>
  <si>
    <t xml:space="preserve">MS54119</t>
  </si>
  <si>
    <t xml:space="preserve">MS54120</t>
  </si>
  <si>
    <t xml:space="preserve">MS54121</t>
  </si>
  <si>
    <t xml:space="preserve">MS54122</t>
  </si>
  <si>
    <t xml:space="preserve">MS54123</t>
  </si>
  <si>
    <t xml:space="preserve">hawkx</t>
  </si>
  <si>
    <t xml:space="preserve">MS54124</t>
  </si>
  <si>
    <t xml:space="preserve">MS54125</t>
  </si>
  <si>
    <t xml:space="preserve">MS54126</t>
  </si>
  <si>
    <t xml:space="preserve">MS54127</t>
  </si>
  <si>
    <t xml:space="preserve">MS54128</t>
  </si>
  <si>
    <t xml:space="preserve">MS54129</t>
  </si>
  <si>
    <t xml:space="preserve">MS54130</t>
  </si>
  <si>
    <t xml:space="preserve">MS54131</t>
  </si>
  <si>
    <t xml:space="preserve">MS54132</t>
  </si>
  <si>
    <t xml:space="preserve">MS54133</t>
  </si>
  <si>
    <t xml:space="preserve">MS54134</t>
  </si>
  <si>
    <t xml:space="preserve">MS54135</t>
  </si>
  <si>
    <t xml:space="preserve">MS54136</t>
  </si>
  <si>
    <t xml:space="preserve">MS54137</t>
  </si>
  <si>
    <t xml:space="preserve">MS54138</t>
  </si>
  <si>
    <t xml:space="preserve">MS54139</t>
  </si>
  <si>
    <t xml:space="preserve">hawk</t>
  </si>
  <si>
    <t xml:space="preserve">MS54140</t>
  </si>
  <si>
    <t xml:space="preserve">MS54141</t>
  </si>
  <si>
    <t xml:space="preserve">MS54142</t>
  </si>
  <si>
    <t xml:space="preserve">MS54143</t>
  </si>
  <si>
    <t xml:space="preserve">MS54144</t>
  </si>
  <si>
    <t xml:space="preserve">edge</t>
  </si>
  <si>
    <t xml:space="preserve">MS54145</t>
  </si>
  <si>
    <t xml:space="preserve">MS54146</t>
  </si>
  <si>
    <t xml:space="preserve">MS54147</t>
  </si>
  <si>
    <t xml:space="preserve">MS54148</t>
  </si>
  <si>
    <t xml:space="preserve">MS54149</t>
  </si>
  <si>
    <t xml:space="preserve">MS54150</t>
  </si>
  <si>
    <t xml:space="preserve">MS54151</t>
  </si>
  <si>
    <t xml:space="preserve">MS54152</t>
  </si>
  <si>
    <t xml:space="preserve">MS54153</t>
  </si>
  <si>
    <t xml:space="preserve">MS54154</t>
  </si>
  <si>
    <t xml:space="preserve">MS54155</t>
  </si>
  <si>
    <t xml:space="preserve">MS54156</t>
  </si>
  <si>
    <t xml:space="preserve">MS54157</t>
  </si>
  <si>
    <t xml:space="preserve">quest</t>
  </si>
  <si>
    <t xml:space="preserve">MS54158</t>
  </si>
  <si>
    <t xml:space="preserve">MS54159</t>
  </si>
  <si>
    <t xml:space="preserve">alpha</t>
  </si>
  <si>
    <t xml:space="preserve">MS54160</t>
  </si>
  <si>
    <t xml:space="preserve">MS54161</t>
  </si>
  <si>
    <t xml:space="preserve">MS54162</t>
  </si>
  <si>
    <t xml:space="preserve">MS54163</t>
  </si>
  <si>
    <t xml:space="preserve">cochise</t>
  </si>
  <si>
    <t xml:space="preserve">MS54164</t>
  </si>
  <si>
    <t xml:space="preserve">MS54165</t>
  </si>
  <si>
    <t xml:space="preserve">MS54166</t>
  </si>
  <si>
    <t xml:space="preserve">MS54167</t>
  </si>
  <si>
    <t xml:space="preserve">MS54168</t>
  </si>
  <si>
    <t xml:space="preserve">MS54169</t>
  </si>
  <si>
    <t xml:space="preserve">MS54170</t>
  </si>
  <si>
    <t xml:space="preserve">MS54171</t>
  </si>
  <si>
    <t xml:space="preserve">MS54172</t>
  </si>
  <si>
    <t xml:space="preserve">MS54173</t>
  </si>
  <si>
    <t xml:space="preserve">MS54174</t>
  </si>
  <si>
    <t xml:space="preserve">MS54175</t>
  </si>
  <si>
    <t xml:space="preserve">gp</t>
  </si>
  <si>
    <t xml:space="preserve">MS54176</t>
  </si>
  <si>
    <t xml:space="preserve">MS54177</t>
  </si>
  <si>
    <t xml:space="preserve">MS54178</t>
  </si>
  <si>
    <t xml:space="preserve">MS54179</t>
  </si>
  <si>
    <t xml:space="preserve">MS54180</t>
  </si>
  <si>
    <t xml:space="preserve">MS54181</t>
  </si>
  <si>
    <t xml:space="preserve">yeti</t>
  </si>
  <si>
    <t xml:space="preserve">MS54182</t>
  </si>
  <si>
    <t xml:space="preserve">MS54183</t>
  </si>
  <si>
    <t xml:space="preserve">MS54184</t>
  </si>
  <si>
    <t xml:space="preserve">MS54185</t>
  </si>
  <si>
    <t xml:space="preserve">MS54186</t>
  </si>
  <si>
    <t xml:space="preserve">fun</t>
  </si>
  <si>
    <t xml:space="preserve">MS54187</t>
  </si>
  <si>
    <t xml:space="preserve">MS54188</t>
  </si>
  <si>
    <t xml:space="preserve">MS54189</t>
  </si>
  <si>
    <t xml:space="preserve">MS54190</t>
  </si>
  <si>
    <t xml:space="preserve">gaia</t>
  </si>
  <si>
    <t xml:space="preserve">MS54191</t>
  </si>
  <si>
    <t xml:space="preserve">MS54192</t>
  </si>
  <si>
    <t xml:space="preserve">MS54193</t>
  </si>
  <si>
    <t xml:space="preserve">MS54194</t>
  </si>
  <si>
    <t xml:space="preserve">MS54195</t>
  </si>
  <si>
    <t xml:space="preserve">MS54196</t>
  </si>
  <si>
    <t xml:space="preserve">MS54197</t>
  </si>
  <si>
    <t xml:space="preserve">MS54198</t>
  </si>
  <si>
    <t xml:space="preserve">MS54199</t>
  </si>
  <si>
    <t xml:space="preserve">MS54200</t>
  </si>
  <si>
    <t xml:space="preserve">MS54201</t>
  </si>
  <si>
    <t xml:space="preserve">MS54202</t>
  </si>
  <si>
    <t xml:space="preserve">raptor</t>
  </si>
  <si>
    <t xml:space="preserve">MS54203</t>
  </si>
  <si>
    <t xml:space="preserve">MS54204</t>
  </si>
  <si>
    <t xml:space="preserve">MS54205</t>
  </si>
  <si>
    <t xml:space="preserve">MS54206</t>
  </si>
  <si>
    <t xml:space="preserve">MS54207</t>
  </si>
  <si>
    <t xml:space="preserve">MS54208</t>
  </si>
  <si>
    <t xml:space="preserve">MS54209</t>
  </si>
  <si>
    <t xml:space="preserve">MS54210</t>
  </si>
  <si>
    <t xml:space="preserve">MS54211</t>
  </si>
  <si>
    <t xml:space="preserve">MS54212</t>
  </si>
  <si>
    <t xml:space="preserve">MS54213</t>
  </si>
  <si>
    <t xml:space="preserve">MS54214</t>
  </si>
  <si>
    <t xml:space="preserve">MS54215</t>
  </si>
  <si>
    <t xml:space="preserve">MS54216</t>
  </si>
  <si>
    <t xml:space="preserve">MS54217</t>
  </si>
  <si>
    <t xml:space="preserve">MS54218</t>
  </si>
  <si>
    <t xml:space="preserve">MS54219</t>
  </si>
  <si>
    <t xml:space="preserve">MS54220</t>
  </si>
  <si>
    <t xml:space="preserve">MS54221</t>
  </si>
  <si>
    <t xml:space="preserve">MS54222</t>
  </si>
  <si>
    <t xml:space="preserve">MS54223</t>
  </si>
  <si>
    <t xml:space="preserve">MS54224</t>
  </si>
  <si>
    <t xml:space="preserve">MS54225</t>
  </si>
  <si>
    <t xml:space="preserve">MS54226</t>
  </si>
  <si>
    <t xml:space="preserve">MS54227</t>
  </si>
  <si>
    <t xml:space="preserve">MS54228</t>
  </si>
  <si>
    <t xml:space="preserve">MS54229</t>
  </si>
  <si>
    <t xml:space="preserve">MS54230</t>
  </si>
  <si>
    <t xml:space="preserve">MS54231</t>
  </si>
  <si>
    <t xml:space="preserve">MS54232</t>
  </si>
  <si>
    <t xml:space="preserve">MS54233</t>
  </si>
  <si>
    <t xml:space="preserve">MS54234</t>
  </si>
  <si>
    <t xml:space="preserve">MS54235</t>
  </si>
  <si>
    <t xml:space="preserve">MS54236</t>
  </si>
  <si>
    <t xml:space="preserve">MS54237</t>
  </si>
  <si>
    <t xml:space="preserve">MS54238</t>
  </si>
  <si>
    <t xml:space="preserve">MS54239</t>
  </si>
  <si>
    <t xml:space="preserve">MS54240</t>
  </si>
  <si>
    <t xml:space="preserve">MS54241</t>
  </si>
  <si>
    <t xml:space="preserve">MS54242</t>
  </si>
  <si>
    <t xml:space="preserve">MS54243</t>
  </si>
  <si>
    <t xml:space="preserve">MS54244</t>
  </si>
  <si>
    <t xml:space="preserve">MS54245</t>
  </si>
  <si>
    <t xml:space="preserve">MS54246</t>
  </si>
  <si>
    <t xml:space="preserve">MS54247</t>
  </si>
  <si>
    <t xml:space="preserve">MS54248</t>
  </si>
  <si>
    <t xml:space="preserve">MS54249</t>
  </si>
  <si>
    <t xml:space="preserve">MS54250</t>
  </si>
  <si>
    <t xml:space="preserve">MS54251</t>
  </si>
  <si>
    <t xml:space="preserve">MS54252</t>
  </si>
  <si>
    <t xml:space="preserve">MS54253</t>
  </si>
  <si>
    <t xml:space="preserve">MS54254</t>
  </si>
  <si>
    <t xml:space="preserve">MS54255</t>
  </si>
  <si>
    <t xml:space="preserve">MS54256</t>
  </si>
  <si>
    <t xml:space="preserve">MS54257</t>
  </si>
  <si>
    <t xml:space="preserve">MS54258</t>
  </si>
  <si>
    <t xml:space="preserve">MS54259</t>
  </si>
  <si>
    <t xml:space="preserve">MS54260</t>
  </si>
  <si>
    <t xml:space="preserve">MS54261</t>
  </si>
  <si>
    <t xml:space="preserve">MS54262</t>
  </si>
  <si>
    <t xml:space="preserve">MS54263</t>
  </si>
  <si>
    <t xml:space="preserve">MS54264</t>
  </si>
  <si>
    <t xml:space="preserve">MS54265</t>
  </si>
  <si>
    <t xml:space="preserve">MS54266</t>
  </si>
  <si>
    <t xml:space="preserve">MS54267</t>
  </si>
  <si>
    <t xml:space="preserve">MS54268</t>
  </si>
  <si>
    <t xml:space="preserve">MS54269</t>
  </si>
  <si>
    <t xml:space="preserve">MS54270</t>
  </si>
  <si>
    <t xml:space="preserve">MS54271</t>
  </si>
  <si>
    <t xml:space="preserve">MS54272</t>
  </si>
  <si>
    <t xml:space="preserve">MS54273</t>
  </si>
  <si>
    <t xml:space="preserve">MS54274</t>
  </si>
  <si>
    <t xml:space="preserve">MS54275</t>
  </si>
  <si>
    <t xml:space="preserve">MS54276</t>
  </si>
  <si>
    <t xml:space="preserve">mini</t>
  </si>
  <si>
    <t xml:space="preserve">MS54277</t>
  </si>
  <si>
    <t xml:space="preserve">MS54278</t>
  </si>
  <si>
    <t xml:space="preserve">MS54279</t>
  </si>
  <si>
    <t xml:space="preserve">MS54280</t>
  </si>
  <si>
    <t xml:space="preserve">MS54281</t>
  </si>
  <si>
    <t xml:space="preserve">MS54282</t>
  </si>
  <si>
    <t xml:space="preserve">MS54283</t>
  </si>
  <si>
    <t xml:space="preserve">MS54284</t>
  </si>
  <si>
    <t xml:space="preserve">MS54285</t>
  </si>
  <si>
    <t xml:space="preserve">MS54286</t>
  </si>
  <si>
    <t xml:space="preserve">MS54287</t>
  </si>
  <si>
    <t xml:space="preserve">MS54288</t>
  </si>
  <si>
    <t xml:space="preserve">MS54289</t>
  </si>
  <si>
    <t xml:space="preserve">MS54290</t>
  </si>
  <si>
    <t xml:space="preserve">MS54291</t>
  </si>
  <si>
    <t xml:space="preserve">MS54458</t>
  </si>
  <si>
    <t xml:space="preserve">nitro</t>
  </si>
  <si>
    <t xml:space="preserve">smp</t>
  </si>
  <si>
    <t xml:space="preserve">MS54461</t>
  </si>
  <si>
    <t xml:space="preserve">MS54463</t>
  </si>
  <si>
    <t xml:space="preserve">thrills</t>
  </si>
  <si>
    <t xml:space="preserve">MS54464</t>
  </si>
  <si>
    <t xml:space="preserve">MS54466</t>
  </si>
  <si>
    <t xml:space="preserve">prime</t>
  </si>
  <si>
    <t xml:space="preserve">MS54467</t>
  </si>
  <si>
    <t xml:space="preserve">lectra</t>
  </si>
  <si>
    <t xml:space="preserve">MS54468</t>
  </si>
  <si>
    <t xml:space="preserve">MS54471</t>
  </si>
  <si>
    <t xml:space="preserve">MS54473</t>
  </si>
  <si>
    <t xml:space="preserve">tesla</t>
  </si>
  <si>
    <t xml:space="preserve">MS54475</t>
  </si>
  <si>
    <t xml:space="preserve">angus</t>
  </si>
  <si>
    <t xml:space="preserve">MS54485</t>
  </si>
  <si>
    <t xml:space="preserve">BlackCrows</t>
  </si>
  <si>
    <t xml:space="preserve">camoxJr</t>
  </si>
  <si>
    <t xml:space="preserve">MS54486</t>
  </si>
  <si>
    <t xml:space="preserve">vertisB</t>
  </si>
  <si>
    <t xml:space="preserve">MS54489</t>
  </si>
  <si>
    <t xml:space="preserve">serpo</t>
  </si>
  <si>
    <t xml:space="preserve">MS54490</t>
  </si>
  <si>
    <t xml:space="preserve">MS54492</t>
  </si>
  <si>
    <t xml:space="preserve">vertis</t>
  </si>
  <si>
    <t xml:space="preserve">MS54493</t>
  </si>
  <si>
    <t xml:space="preserve">atris</t>
  </si>
  <si>
    <t xml:space="preserve">MS54533</t>
  </si>
  <si>
    <t xml:space="preserve">Altai</t>
  </si>
  <si>
    <t xml:space="preserve">fiz</t>
  </si>
  <si>
    <t xml:space="preserve">MS54540</t>
  </si>
  <si>
    <t xml:space="preserve">MS54541</t>
  </si>
  <si>
    <t xml:space="preserve">MS54543</t>
  </si>
  <si>
    <t xml:space="preserve">MS54549</t>
  </si>
  <si>
    <t xml:space="preserve">MS54616</t>
  </si>
  <si>
    <t xml:space="preserve">nova</t>
  </si>
  <si>
    <t xml:space="preserve">MS54638</t>
  </si>
  <si>
    <t xml:space="preserve">MS54641</t>
  </si>
  <si>
    <t xml:space="preserve">Nitro</t>
  </si>
  <si>
    <t xml:space="preserve">MS54642</t>
  </si>
  <si>
    <t xml:space="preserve">MS54643</t>
  </si>
  <si>
    <t xml:space="preserve">MS54777</t>
  </si>
  <si>
    <t xml:space="preserve">MS54779</t>
  </si>
  <si>
    <t xml:space="preserve">MS54780</t>
  </si>
  <si>
    <t xml:space="preserve">MS54786</t>
  </si>
  <si>
    <t xml:space="preserve">MS54787</t>
  </si>
  <si>
    <t xml:space="preserve">MS54789</t>
  </si>
  <si>
    <t xml:space="preserve">MS54791</t>
  </si>
  <si>
    <t xml:space="preserve">captis</t>
  </si>
  <si>
    <t xml:space="preserve">MS54792</t>
  </si>
  <si>
    <t xml:space="preserve">MS54972</t>
  </si>
  <si>
    <t xml:space="preserve">MS54979</t>
  </si>
  <si>
    <t xml:space="preserve">deamon</t>
  </si>
  <si>
    <t xml:space="preserve">MS54983</t>
  </si>
  <si>
    <t xml:space="preserve">MS54988</t>
  </si>
  <si>
    <t xml:space="preserve">MS55002</t>
  </si>
  <si>
    <t xml:space="preserve">altai</t>
  </si>
  <si>
    <t xml:space="preserve">MS55003</t>
  </si>
  <si>
    <t xml:space="preserve">MS55018</t>
  </si>
  <si>
    <t xml:space="preserve">MS55019</t>
  </si>
  <si>
    <t xml:space="preserve">MS55021</t>
  </si>
  <si>
    <t xml:space="preserve">MS55024</t>
  </si>
  <si>
    <t xml:space="preserve">MS55028</t>
  </si>
  <si>
    <t xml:space="preserve">MS55029</t>
  </si>
  <si>
    <t xml:space="preserve">MS55031</t>
  </si>
  <si>
    <t xml:space="preserve">MS55032</t>
  </si>
  <si>
    <t xml:space="preserve">MS55040</t>
  </si>
  <si>
    <t xml:space="preserve">vertis b</t>
  </si>
  <si>
    <t xml:space="preserve">MS55042</t>
  </si>
  <si>
    <t xml:space="preserve">MS55055</t>
  </si>
  <si>
    <t xml:space="preserve">MS55056</t>
  </si>
  <si>
    <t xml:space="preserve">MS55057</t>
  </si>
  <si>
    <t xml:space="preserve">MS55058</t>
  </si>
  <si>
    <t xml:space="preserve">MS55059</t>
  </si>
  <si>
    <t xml:space="preserve">MS55060</t>
  </si>
  <si>
    <t xml:space="preserve">MS55061</t>
  </si>
  <si>
    <t xml:space="preserve">MS55063</t>
  </si>
  <si>
    <t xml:space="preserve">camox jr</t>
  </si>
  <si>
    <t xml:space="preserve">MS55064</t>
  </si>
  <si>
    <t xml:space="preserve">speed master</t>
  </si>
  <si>
    <t xml:space="preserve">MS55065</t>
  </si>
  <si>
    <t xml:space="preserve">MS55066</t>
  </si>
  <si>
    <t xml:space="preserve">MS55067</t>
  </si>
  <si>
    <t xml:space="preserve">mirus</t>
  </si>
  <si>
    <t xml:space="preserve">MS55068</t>
  </si>
  <si>
    <t xml:space="preserve">MS55069</t>
  </si>
  <si>
    <t xml:space="preserve">MS55070</t>
  </si>
  <si>
    <t xml:space="preserve">MS55071</t>
  </si>
  <si>
    <t xml:space="preserve">MS55072</t>
  </si>
  <si>
    <t xml:space="preserve">speed 4-</t>
  </si>
  <si>
    <t xml:space="preserve">MS55073</t>
  </si>
  <si>
    <t xml:space="preserve">MS55074</t>
  </si>
  <si>
    <t xml:space="preserve">MS55075</t>
  </si>
  <si>
    <t xml:space="preserve">MS55076</t>
  </si>
  <si>
    <t xml:space="preserve">MS55077</t>
  </si>
  <si>
    <t xml:space="preserve">MS55078</t>
  </si>
  <si>
    <t xml:space="preserve">MS55079</t>
  </si>
  <si>
    <t xml:space="preserve">MS55080</t>
  </si>
  <si>
    <t xml:space="preserve">MS55081</t>
  </si>
  <si>
    <t xml:space="preserve">MS55082</t>
  </si>
  <si>
    <t xml:space="preserve">MS55083</t>
  </si>
  <si>
    <t xml:space="preserve">MS55084</t>
  </si>
  <si>
    <t xml:space="preserve">MS55085</t>
  </si>
  <si>
    <t xml:space="preserve">MS55086</t>
  </si>
  <si>
    <t xml:space="preserve">MS55087</t>
  </si>
  <si>
    <t xml:space="preserve">MS55088</t>
  </si>
  <si>
    <t xml:space="preserve">MS55089</t>
  </si>
  <si>
    <t xml:space="preserve">MS55090</t>
  </si>
  <si>
    <t xml:space="preserve">MS55091</t>
  </si>
  <si>
    <t xml:space="preserve">MS55092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</si>
</sst>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\ hh:mm"/>
    <numFmt numFmtId="167" formatCode="0.00"/>
    <numFmt numFmtId="168" formatCode="#,##0&quot; €&quot;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C0C0C0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8" min="1" style="1" width="11.43"/>
    <col collapsed="false" customWidth="true" hidden="false" outlineLevel="0" max="11" min="9" style="1" width="21.43"/>
    <col collapsed="false" customWidth="true" hidden="false" outlineLevel="0" max="12" min="12" style="1" width="17.86"/>
    <col collapsed="false" customWidth="true" hidden="false" outlineLevel="0" max="15" min="13" style="1" width="11.43"/>
    <col collapsed="false" customWidth="true" hidden="false" outlineLevel="0" max="17" min="16" style="1" width="15.7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false" outlineLevel="0" collapsed="false">
      <c r="A2" s="1" t="str">
        <f aca="false">Feuil1!H2</f>
        <v>52835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3" t="str">
        <f aca="false">Feuil1!I2</f>
        <v>Skis Alpin </v>
      </c>
      <c r="J2" s="3" t="str">
        <f aca="false">Feuil1!J2</f>
        <v>Rossignol pursuit</v>
      </c>
      <c r="K2" s="3" t="str">
        <f aca="false">Feuil1!K2</f>
        <v>156 cm</v>
      </c>
      <c r="L2" s="3" t="n">
        <f aca="false">Feuil1!L2</f>
        <v>129</v>
      </c>
      <c r="M2" s="1" t="s">
        <v>17</v>
      </c>
      <c r="N2" s="1" t="s">
        <v>18</v>
      </c>
      <c r="O2" s="1" t="s">
        <v>19</v>
      </c>
      <c r="P2" s="4" t="n">
        <v>45973.466099537</v>
      </c>
      <c r="Q2" s="4" t="n">
        <v>45973.466099537</v>
      </c>
    </row>
    <row r="3" customFormat="false" ht="15" hidden="false" customHeight="false" outlineLevel="0" collapsed="false">
      <c r="A3" s="1" t="str">
        <f aca="false">Feuil1!H3</f>
        <v>52836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3" t="str">
        <f aca="false">Feuil1!I3</f>
        <v>Skis Alpin </v>
      </c>
      <c r="J3" s="3" t="str">
        <f aca="false">Feuil1!J3</f>
        <v>Rossignol pursuit</v>
      </c>
      <c r="K3" s="3" t="str">
        <f aca="false">Feuil1!K3</f>
        <v>156 cm</v>
      </c>
      <c r="L3" s="3" t="n">
        <f aca="false">Feuil1!L3</f>
        <v>129</v>
      </c>
      <c r="M3" s="1" t="s">
        <v>17</v>
      </c>
      <c r="N3" s="1" t="s">
        <v>18</v>
      </c>
      <c r="O3" s="1" t="s">
        <v>19</v>
      </c>
      <c r="P3" s="4" t="n">
        <v>45973.466099537</v>
      </c>
      <c r="Q3" s="4" t="n">
        <v>45973.466099537</v>
      </c>
    </row>
    <row r="4" customFormat="false" ht="15" hidden="false" customHeight="false" outlineLevel="0" collapsed="false">
      <c r="A4" s="1" t="str">
        <f aca="false">Feuil1!H4</f>
        <v>52837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3" t="str">
        <f aca="false">Feuil1!I4</f>
        <v>Skis Alpin </v>
      </c>
      <c r="J4" s="3" t="str">
        <f aca="false">Feuil1!J4</f>
        <v>Rossignol exp 86</v>
      </c>
      <c r="K4" s="3" t="str">
        <f aca="false">Feuil1!K4</f>
        <v>167 cm</v>
      </c>
      <c r="L4" s="3" t="n">
        <f aca="false">Feuil1!L4</f>
        <v>245</v>
      </c>
      <c r="M4" s="1" t="s">
        <v>17</v>
      </c>
      <c r="N4" s="1" t="s">
        <v>18</v>
      </c>
      <c r="O4" s="1" t="s">
        <v>19</v>
      </c>
      <c r="P4" s="4" t="n">
        <v>45973.466099537</v>
      </c>
      <c r="Q4" s="4" t="n">
        <v>45973.466099537</v>
      </c>
    </row>
    <row r="5" customFormat="false" ht="15" hidden="false" customHeight="false" outlineLevel="0" collapsed="false">
      <c r="A5" s="1" t="str">
        <f aca="false">Feuil1!H5</f>
        <v>52838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3" t="str">
        <f aca="false">Feuil1!I5</f>
        <v>Skis Alpin </v>
      </c>
      <c r="J5" s="3" t="str">
        <f aca="false">Feuil1!J5</f>
        <v>Rossignol hero</v>
      </c>
      <c r="K5" s="3" t="str">
        <f aca="false">Feuil1!K5</f>
        <v>175 cm</v>
      </c>
      <c r="L5" s="3" t="n">
        <f aca="false">Feuil1!L5</f>
        <v>245</v>
      </c>
      <c r="M5" s="1" t="s">
        <v>17</v>
      </c>
      <c r="N5" s="1" t="s">
        <v>18</v>
      </c>
      <c r="O5" s="1" t="s">
        <v>19</v>
      </c>
      <c r="P5" s="4" t="n">
        <v>45973.466099537</v>
      </c>
      <c r="Q5" s="4" t="n">
        <v>45973.466099537</v>
      </c>
    </row>
    <row r="6" customFormat="false" ht="15" hidden="false" customHeight="false" outlineLevel="0" collapsed="false">
      <c r="A6" s="1" t="str">
        <f aca="false">Feuil1!H6</f>
        <v>52839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3" t="str">
        <f aca="false">Feuil1!I6</f>
        <v>Skis Alpin </v>
      </c>
      <c r="J6" s="3" t="str">
        <f aca="false">Feuil1!J6</f>
        <v>Rossignol forza</v>
      </c>
      <c r="K6" s="3" t="str">
        <f aca="false">Feuil1!K6</f>
        <v>171 cm</v>
      </c>
      <c r="L6" s="3" t="n">
        <f aca="false">Feuil1!L6</f>
        <v>145</v>
      </c>
      <c r="M6" s="1" t="s">
        <v>17</v>
      </c>
      <c r="N6" s="1" t="s">
        <v>18</v>
      </c>
      <c r="O6" s="1" t="s">
        <v>19</v>
      </c>
      <c r="P6" s="4" t="n">
        <v>45973.466099537</v>
      </c>
      <c r="Q6" s="4" t="n">
        <v>45973.466099537</v>
      </c>
    </row>
    <row r="7" customFormat="false" ht="15" hidden="false" customHeight="false" outlineLevel="0" collapsed="false">
      <c r="A7" s="1" t="str">
        <f aca="false">Feuil1!H7</f>
        <v>52840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3" t="str">
        <f aca="false">Feuil1!I7</f>
        <v>Skis Alpin </v>
      </c>
      <c r="J7" s="3" t="str">
        <f aca="false">Feuil1!J7</f>
        <v>Rossignol react</v>
      </c>
      <c r="K7" s="3" t="str">
        <f aca="false">Feuil1!K7</f>
        <v>156 cm</v>
      </c>
      <c r="L7" s="3" t="n">
        <f aca="false">Feuil1!L7</f>
        <v>145</v>
      </c>
      <c r="M7" s="1" t="s">
        <v>17</v>
      </c>
      <c r="N7" s="1" t="s">
        <v>18</v>
      </c>
      <c r="O7" s="1" t="s">
        <v>19</v>
      </c>
      <c r="P7" s="4" t="n">
        <v>45973.466099537</v>
      </c>
      <c r="Q7" s="4" t="n">
        <v>45973.466099537</v>
      </c>
    </row>
    <row r="8" customFormat="false" ht="15" hidden="false" customHeight="false" outlineLevel="0" collapsed="false">
      <c r="A8" s="1" t="str">
        <f aca="false">Feuil1!H8</f>
        <v>52841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3" t="str">
        <f aca="false">Feuil1!I8</f>
        <v>Skis Alpin </v>
      </c>
      <c r="J8" s="3" t="str">
        <f aca="false">Feuil1!J8</f>
        <v>Rossignol react</v>
      </c>
      <c r="K8" s="3" t="str">
        <f aca="false">Feuil1!K8</f>
        <v>163 cm</v>
      </c>
      <c r="L8" s="3" t="n">
        <f aca="false">Feuil1!L8</f>
        <v>125</v>
      </c>
      <c r="M8" s="1" t="s">
        <v>17</v>
      </c>
      <c r="N8" s="1" t="s">
        <v>18</v>
      </c>
      <c r="O8" s="1" t="s">
        <v>19</v>
      </c>
      <c r="P8" s="4" t="n">
        <v>45973.466099537</v>
      </c>
      <c r="Q8" s="4" t="n">
        <v>45973.466099537</v>
      </c>
    </row>
    <row r="9" customFormat="false" ht="15" hidden="false" customHeight="false" outlineLevel="0" collapsed="false">
      <c r="A9" s="1" t="str">
        <f aca="false">Feuil1!H9</f>
        <v>52842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3" t="str">
        <f aca="false">Feuil1!I9</f>
        <v>Skis Alpin </v>
      </c>
      <c r="J9" s="3" t="str">
        <f aca="false">Feuil1!J9</f>
        <v>Rossignol forza</v>
      </c>
      <c r="K9" s="3" t="str">
        <f aca="false">Feuil1!K9</f>
        <v>164 cm</v>
      </c>
      <c r="L9" s="3" t="n">
        <f aca="false">Feuil1!L9</f>
        <v>145</v>
      </c>
      <c r="M9" s="1" t="s">
        <v>17</v>
      </c>
      <c r="N9" s="1" t="s">
        <v>18</v>
      </c>
      <c r="O9" s="1" t="s">
        <v>19</v>
      </c>
      <c r="P9" s="4" t="n">
        <v>45973.466099537</v>
      </c>
      <c r="Q9" s="4" t="n">
        <v>45973.466099537</v>
      </c>
    </row>
    <row r="10" customFormat="false" ht="15" hidden="false" customHeight="false" outlineLevel="0" collapsed="false">
      <c r="A10" s="1" t="str">
        <f aca="false">Feuil1!H10</f>
        <v>52843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3" t="str">
        <f aca="false">Feuil1!I10</f>
        <v>Skis Alpin </v>
      </c>
      <c r="J10" s="3" t="str">
        <f aca="false">Feuil1!J10</f>
        <v>Rossignol wc8</v>
      </c>
      <c r="K10" s="3" t="str">
        <f aca="false">Feuil1!K10</f>
        <v>155 cm</v>
      </c>
      <c r="L10" s="3" t="n">
        <f aca="false">Feuil1!L10</f>
        <v>149</v>
      </c>
      <c r="M10" s="1" t="s">
        <v>17</v>
      </c>
      <c r="N10" s="1" t="s">
        <v>18</v>
      </c>
      <c r="O10" s="1" t="s">
        <v>19</v>
      </c>
      <c r="P10" s="4" t="n">
        <v>45973.466099537</v>
      </c>
      <c r="Q10" s="4" t="n">
        <v>45973.466099537</v>
      </c>
    </row>
    <row r="11" customFormat="false" ht="15" hidden="false" customHeight="false" outlineLevel="0" collapsed="false">
      <c r="A11" s="1" t="str">
        <f aca="false">Feuil1!H11</f>
        <v>52844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3" t="str">
        <f aca="false">Feuil1!I11</f>
        <v>Skis Alpin </v>
      </c>
      <c r="J11" s="3" t="str">
        <f aca="false">Feuil1!J11</f>
        <v>Rossignol wc8</v>
      </c>
      <c r="K11" s="3" t="str">
        <f aca="false">Feuil1!K11</f>
        <v>155 cm</v>
      </c>
      <c r="L11" s="3" t="n">
        <f aca="false">Feuil1!L11</f>
        <v>149</v>
      </c>
      <c r="M11" s="1" t="s">
        <v>17</v>
      </c>
      <c r="N11" s="1" t="s">
        <v>18</v>
      </c>
      <c r="O11" s="1" t="s">
        <v>19</v>
      </c>
      <c r="P11" s="4" t="n">
        <v>45973.466099537</v>
      </c>
      <c r="Q11" s="4" t="n">
        <v>45973.466099537</v>
      </c>
    </row>
    <row r="12" customFormat="false" ht="15" hidden="false" customHeight="false" outlineLevel="0" collapsed="false">
      <c r="A12" s="1" t="str">
        <f aca="false">Feuil1!H12</f>
        <v>52845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3" t="str">
        <f aca="false">Feuil1!I12</f>
        <v>Skis Alpin </v>
      </c>
      <c r="J12" s="3" t="str">
        <f aca="false">Feuil1!J12</f>
        <v>Rossignol pursuit</v>
      </c>
      <c r="K12" s="3" t="str">
        <f aca="false">Feuil1!K12</f>
        <v>163 cm</v>
      </c>
      <c r="L12" s="3" t="n">
        <f aca="false">Feuil1!L12</f>
        <v>125</v>
      </c>
      <c r="M12" s="1" t="s">
        <v>17</v>
      </c>
      <c r="N12" s="1" t="s">
        <v>18</v>
      </c>
      <c r="O12" s="1" t="s">
        <v>19</v>
      </c>
      <c r="P12" s="4" t="n">
        <v>45973.466099537</v>
      </c>
      <c r="Q12" s="4" t="n">
        <v>45973.466099537</v>
      </c>
    </row>
    <row r="13" customFormat="false" ht="15" hidden="false" customHeight="false" outlineLevel="0" collapsed="false">
      <c r="A13" s="1" t="str">
        <f aca="false">Feuil1!H13</f>
        <v>52846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3" t="str">
        <f aca="false">Feuil1!I13</f>
        <v>Skis Alpin </v>
      </c>
      <c r="J13" s="3" t="str">
        <f aca="false">Feuil1!J13</f>
        <v>Rossignol pursuit</v>
      </c>
      <c r="K13" s="3" t="str">
        <f aca="false">Feuil1!K13</f>
        <v>170 cm</v>
      </c>
      <c r="L13" s="3" t="n">
        <f aca="false">Feuil1!L13</f>
        <v>125</v>
      </c>
      <c r="M13" s="1" t="s">
        <v>17</v>
      </c>
      <c r="N13" s="1" t="s">
        <v>18</v>
      </c>
      <c r="O13" s="1" t="s">
        <v>19</v>
      </c>
      <c r="P13" s="4" t="n">
        <v>45973.466099537</v>
      </c>
      <c r="Q13" s="4" t="n">
        <v>45973.466099537</v>
      </c>
    </row>
    <row r="14" customFormat="false" ht="15" hidden="false" customHeight="false" outlineLevel="0" collapsed="false">
      <c r="A14" s="1" t="str">
        <f aca="false">Feuil1!H14</f>
        <v>52847</v>
      </c>
      <c r="B14" s="1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3" t="str">
        <f aca="false">Feuil1!I14</f>
        <v>Skis Alpin </v>
      </c>
      <c r="J14" s="3" t="str">
        <f aca="false">Feuil1!J14</f>
        <v>volkl rtm</v>
      </c>
      <c r="K14" s="3" t="str">
        <f aca="false">Feuil1!K14</f>
        <v>177 cm</v>
      </c>
      <c r="L14" s="3" t="n">
        <f aca="false">Feuil1!L14</f>
        <v>145</v>
      </c>
      <c r="M14" s="1" t="s">
        <v>17</v>
      </c>
      <c r="N14" s="1" t="s">
        <v>18</v>
      </c>
      <c r="O14" s="1" t="s">
        <v>19</v>
      </c>
      <c r="P14" s="4" t="n">
        <v>45973.466099537</v>
      </c>
      <c r="Q14" s="4" t="n">
        <v>45973.466099537</v>
      </c>
    </row>
    <row r="15" customFormat="false" ht="15" hidden="false" customHeight="false" outlineLevel="0" collapsed="false">
      <c r="A15" s="1" t="str">
        <f aca="false">Feuil1!H15</f>
        <v>52848</v>
      </c>
      <c r="B15" s="1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3" t="str">
        <f aca="false">Feuil1!I15</f>
        <v>Skis Alpin </v>
      </c>
      <c r="J15" s="3" t="str">
        <f aca="false">Feuil1!J15</f>
        <v>volkl deacon</v>
      </c>
      <c r="K15" s="3" t="str">
        <f aca="false">Feuil1!K15</f>
        <v>161 cm</v>
      </c>
      <c r="L15" s="3" t="n">
        <f aca="false">Feuil1!L15</f>
        <v>145</v>
      </c>
      <c r="M15" s="1" t="s">
        <v>17</v>
      </c>
      <c r="N15" s="1" t="s">
        <v>18</v>
      </c>
      <c r="O15" s="1" t="s">
        <v>19</v>
      </c>
      <c r="P15" s="4" t="n">
        <v>45973.466099537</v>
      </c>
      <c r="Q15" s="4" t="n">
        <v>45973.466099537</v>
      </c>
    </row>
    <row r="16" customFormat="false" ht="15" hidden="false" customHeight="false" outlineLevel="0" collapsed="false">
      <c r="A16" s="1" t="str">
        <f aca="false">Feuil1!H16</f>
        <v>52849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3" t="str">
        <f aca="false">Feuil1!I16</f>
        <v>Skis Alpin </v>
      </c>
      <c r="J16" s="3" t="str">
        <f aca="false">Feuil1!J16</f>
        <v>volkl deacon</v>
      </c>
      <c r="K16" s="3" t="str">
        <f aca="false">Feuil1!K16</f>
        <v>161 cm</v>
      </c>
      <c r="L16" s="3" t="n">
        <f aca="false">Feuil1!L16</f>
        <v>145</v>
      </c>
      <c r="M16" s="1" t="s">
        <v>17</v>
      </c>
      <c r="N16" s="1" t="s">
        <v>18</v>
      </c>
      <c r="O16" s="1" t="s">
        <v>19</v>
      </c>
      <c r="P16" s="4" t="n">
        <v>45973.466099537</v>
      </c>
      <c r="Q16" s="4" t="n">
        <v>45973.466099537</v>
      </c>
    </row>
    <row r="17" customFormat="false" ht="15" hidden="false" customHeight="false" outlineLevel="0" collapsed="false">
      <c r="A17" s="1" t="str">
        <f aca="false">Feuil1!H17</f>
        <v>52850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3" t="str">
        <f aca="false">Feuil1!I17</f>
        <v>Skis Alpin </v>
      </c>
      <c r="J17" s="3" t="str">
        <f aca="false">Feuil1!J17</f>
        <v>volkl deacon</v>
      </c>
      <c r="K17" s="3" t="str">
        <f aca="false">Feuil1!K17</f>
        <v>175 cm</v>
      </c>
      <c r="L17" s="3" t="n">
        <f aca="false">Feuil1!L17</f>
        <v>145</v>
      </c>
      <c r="M17" s="1" t="s">
        <v>17</v>
      </c>
      <c r="N17" s="1" t="s">
        <v>18</v>
      </c>
      <c r="O17" s="1" t="s">
        <v>19</v>
      </c>
      <c r="P17" s="4" t="n">
        <v>45973.466099537</v>
      </c>
      <c r="Q17" s="4" t="n">
        <v>45973.466099537</v>
      </c>
    </row>
    <row r="18" customFormat="false" ht="15" hidden="false" customHeight="false" outlineLevel="0" collapsed="false">
      <c r="A18" s="1" t="str">
        <f aca="false">Feuil1!H18</f>
        <v>52851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3" t="str">
        <f aca="false">Feuil1!I18</f>
        <v>Skis Alpin </v>
      </c>
      <c r="J18" s="3" t="str">
        <f aca="false">Feuil1!J18</f>
        <v>volkl deacon</v>
      </c>
      <c r="K18" s="3" t="str">
        <f aca="false">Feuil1!K18</f>
        <v>175 cm</v>
      </c>
      <c r="L18" s="3" t="n">
        <f aca="false">Feuil1!L18</f>
        <v>145</v>
      </c>
      <c r="M18" s="1" t="s">
        <v>17</v>
      </c>
      <c r="N18" s="1" t="s">
        <v>18</v>
      </c>
      <c r="O18" s="1" t="s">
        <v>19</v>
      </c>
      <c r="P18" s="4" t="n">
        <v>45973.466099537</v>
      </c>
      <c r="Q18" s="4" t="n">
        <v>45973.466099537</v>
      </c>
    </row>
    <row r="19" customFormat="false" ht="15" hidden="false" customHeight="false" outlineLevel="0" collapsed="false">
      <c r="A19" s="1" t="str">
        <f aca="false">Feuil1!H19</f>
        <v>52852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3" t="str">
        <f aca="false">Feuil1!I19</f>
        <v>Skis Alpin </v>
      </c>
      <c r="J19" s="3" t="str">
        <f aca="false">Feuil1!J19</f>
        <v>volkl deacon</v>
      </c>
      <c r="K19" s="3" t="str">
        <f aca="false">Feuil1!K19</f>
        <v>172 cm</v>
      </c>
      <c r="L19" s="3" t="n">
        <f aca="false">Feuil1!L19</f>
        <v>145</v>
      </c>
      <c r="M19" s="1" t="s">
        <v>17</v>
      </c>
      <c r="N19" s="1" t="s">
        <v>18</v>
      </c>
      <c r="O19" s="1" t="s">
        <v>19</v>
      </c>
      <c r="P19" s="4" t="n">
        <v>45973.466099537</v>
      </c>
      <c r="Q19" s="4" t="n">
        <v>45973.466099537</v>
      </c>
    </row>
    <row r="20" customFormat="false" ht="15" hidden="false" customHeight="false" outlineLevel="0" collapsed="false">
      <c r="A20" s="1" t="str">
        <f aca="false">Feuil1!H20</f>
        <v>52853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3" t="str">
        <f aca="false">Feuil1!I20</f>
        <v>Skis Alpin </v>
      </c>
      <c r="J20" s="3" t="str">
        <f aca="false">Feuil1!J20</f>
        <v>volkl deacon</v>
      </c>
      <c r="K20" s="3" t="str">
        <f aca="false">Feuil1!K20</f>
        <v>165 cm</v>
      </c>
      <c r="L20" s="3" t="n">
        <f aca="false">Feuil1!L20</f>
        <v>145</v>
      </c>
      <c r="M20" s="1" t="s">
        <v>17</v>
      </c>
      <c r="N20" s="1" t="s">
        <v>18</v>
      </c>
      <c r="O20" s="1" t="s">
        <v>19</v>
      </c>
      <c r="P20" s="4" t="n">
        <v>45973.466099537</v>
      </c>
      <c r="Q20" s="4" t="n">
        <v>45973.466099537</v>
      </c>
    </row>
    <row r="21" customFormat="false" ht="15" hidden="false" customHeight="false" outlineLevel="0" collapsed="false">
      <c r="A21" s="1" t="str">
        <f aca="false">Feuil1!H21</f>
        <v>52854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3" t="str">
        <f aca="false">Feuil1!I21</f>
        <v>Skis Alpin </v>
      </c>
      <c r="J21" s="3" t="str">
        <f aca="false">Feuil1!J21</f>
        <v>Rossignol hero</v>
      </c>
      <c r="K21" s="3" t="str">
        <f aca="false">Feuil1!K21</f>
        <v>167 cm</v>
      </c>
      <c r="L21" s="3" t="n">
        <f aca="false">Feuil1!L21</f>
        <v>245</v>
      </c>
      <c r="M21" s="1" t="s">
        <v>17</v>
      </c>
      <c r="N21" s="1" t="s">
        <v>18</v>
      </c>
      <c r="O21" s="1" t="s">
        <v>19</v>
      </c>
      <c r="P21" s="4" t="n">
        <v>45973.466099537</v>
      </c>
      <c r="Q21" s="4" t="n">
        <v>45973.466099537</v>
      </c>
    </row>
    <row r="22" customFormat="false" ht="15" hidden="false" customHeight="false" outlineLevel="0" collapsed="false">
      <c r="A22" s="1" t="str">
        <f aca="false">Feuil1!H22</f>
        <v>52855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3" t="str">
        <f aca="false">Feuil1!I22</f>
        <v>Skis Alpin </v>
      </c>
      <c r="J22" s="3" t="str">
        <f aca="false">Feuil1!J22</f>
        <v>Rossignol pursuit</v>
      </c>
      <c r="K22" s="3" t="str">
        <f aca="false">Feuil1!K22</f>
        <v>170 cm</v>
      </c>
      <c r="L22" s="3" t="n">
        <f aca="false">Feuil1!L22</f>
        <v>149</v>
      </c>
      <c r="M22" s="1" t="s">
        <v>17</v>
      </c>
      <c r="N22" s="1" t="s">
        <v>18</v>
      </c>
      <c r="O22" s="1" t="s">
        <v>19</v>
      </c>
      <c r="P22" s="4" t="n">
        <v>45973.466099537</v>
      </c>
      <c r="Q22" s="4" t="n">
        <v>45973.466099537</v>
      </c>
    </row>
    <row r="23" customFormat="false" ht="15" hidden="false" customHeight="false" outlineLevel="0" collapsed="false">
      <c r="A23" s="1" t="str">
        <f aca="false">Feuil1!H23</f>
        <v>52856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3" t="str">
        <f aca="false">Feuil1!I23</f>
        <v>Skis Alpin </v>
      </c>
      <c r="J23" s="3" t="str">
        <f aca="false">Feuil1!J23</f>
        <v>Rossignol react</v>
      </c>
      <c r="K23" s="3" t="str">
        <f aca="false">Feuil1!K23</f>
        <v>163 cm</v>
      </c>
      <c r="L23" s="3" t="n">
        <f aca="false">Feuil1!L23</f>
        <v>145</v>
      </c>
      <c r="M23" s="1" t="s">
        <v>17</v>
      </c>
      <c r="N23" s="1" t="s">
        <v>18</v>
      </c>
      <c r="O23" s="1" t="s">
        <v>19</v>
      </c>
      <c r="P23" s="4" t="n">
        <v>45973.466099537</v>
      </c>
      <c r="Q23" s="4" t="n">
        <v>45973.466099537</v>
      </c>
    </row>
    <row r="24" customFormat="false" ht="15" hidden="false" customHeight="false" outlineLevel="0" collapsed="false">
      <c r="A24" s="1" t="str">
        <f aca="false">Feuil1!H24</f>
        <v>52857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3" t="str">
        <f aca="false">Feuil1!I24</f>
        <v>Skis Alpin </v>
      </c>
      <c r="J24" s="3" t="str">
        <f aca="false">Feuil1!J24</f>
        <v>Rossignol exp 80</v>
      </c>
      <c r="K24" s="3" t="str">
        <f aca="false">Feuil1!K24</f>
        <v>166 cm</v>
      </c>
      <c r="L24" s="3" t="n">
        <f aca="false">Feuil1!L24</f>
        <v>129</v>
      </c>
      <c r="M24" s="1" t="s">
        <v>17</v>
      </c>
      <c r="N24" s="1" t="s">
        <v>18</v>
      </c>
      <c r="O24" s="1" t="s">
        <v>19</v>
      </c>
      <c r="P24" s="4" t="n">
        <v>45973.466099537</v>
      </c>
      <c r="Q24" s="4" t="n">
        <v>45973.466099537</v>
      </c>
    </row>
    <row r="25" customFormat="false" ht="15" hidden="false" customHeight="false" outlineLevel="0" collapsed="false">
      <c r="A25" s="1" t="str">
        <f aca="false">Feuil1!H25</f>
        <v>52858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3" t="str">
        <f aca="false">Feuil1!I25</f>
        <v>Skis Alpin </v>
      </c>
      <c r="J25" s="3" t="str">
        <f aca="false">Feuil1!J25</f>
        <v>Rossignol exp 80</v>
      </c>
      <c r="K25" s="3" t="str">
        <f aca="false">Feuil1!K25</f>
        <v>158 cm</v>
      </c>
      <c r="L25" s="3" t="n">
        <f aca="false">Feuil1!L25</f>
        <v>129</v>
      </c>
      <c r="M25" s="1" t="s">
        <v>17</v>
      </c>
      <c r="N25" s="1" t="s">
        <v>18</v>
      </c>
      <c r="O25" s="1" t="s">
        <v>19</v>
      </c>
      <c r="P25" s="4" t="n">
        <v>45973.466099537</v>
      </c>
      <c r="Q25" s="4" t="n">
        <v>45973.466099537</v>
      </c>
    </row>
    <row r="26" customFormat="false" ht="15" hidden="false" customHeight="false" outlineLevel="0" collapsed="false">
      <c r="A26" s="1" t="str">
        <f aca="false">Feuil1!H26</f>
        <v>52859</v>
      </c>
      <c r="B26" s="1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3" t="str">
        <f aca="false">Feuil1!I26</f>
        <v>Skis Alpin </v>
      </c>
      <c r="J26" s="3" t="str">
        <f aca="false">Feuil1!J26</f>
        <v>Rossignol pursuit</v>
      </c>
      <c r="K26" s="3" t="str">
        <f aca="false">Feuil1!K26</f>
        <v>177 cm</v>
      </c>
      <c r="L26" s="3" t="n">
        <f aca="false">Feuil1!L26</f>
        <v>129</v>
      </c>
      <c r="M26" s="1" t="s">
        <v>17</v>
      </c>
      <c r="N26" s="1" t="s">
        <v>18</v>
      </c>
      <c r="O26" s="1" t="s">
        <v>19</v>
      </c>
      <c r="P26" s="4" t="n">
        <v>45973.466099537</v>
      </c>
      <c r="Q26" s="4" t="n">
        <v>45973.466099537</v>
      </c>
    </row>
    <row r="27" customFormat="false" ht="15" hidden="false" customHeight="false" outlineLevel="0" collapsed="false">
      <c r="A27" s="1" t="str">
        <f aca="false">Feuil1!H27</f>
        <v>52860</v>
      </c>
      <c r="B27" s="1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17</v>
      </c>
      <c r="I27" s="3" t="str">
        <f aca="false">Feuil1!I27</f>
        <v>Skis Alpin </v>
      </c>
      <c r="J27" s="3" t="str">
        <f aca="false">Feuil1!J27</f>
        <v>Rossignol react</v>
      </c>
      <c r="K27" s="3" t="str">
        <f aca="false">Feuil1!K27</f>
        <v>156 cm</v>
      </c>
      <c r="L27" s="3" t="n">
        <f aca="false">Feuil1!L27</f>
        <v>129</v>
      </c>
      <c r="M27" s="1" t="s">
        <v>17</v>
      </c>
      <c r="N27" s="1" t="s">
        <v>18</v>
      </c>
      <c r="O27" s="1" t="s">
        <v>19</v>
      </c>
      <c r="P27" s="4" t="n">
        <v>45973.466099537</v>
      </c>
      <c r="Q27" s="4" t="n">
        <v>45973.466099537</v>
      </c>
    </row>
    <row r="28" customFormat="false" ht="15" hidden="false" customHeight="false" outlineLevel="0" collapsed="false">
      <c r="A28" s="1" t="str">
        <f aca="false">Feuil1!H28</f>
        <v>52861</v>
      </c>
      <c r="B28" s="1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17</v>
      </c>
      <c r="H28" s="1" t="s">
        <v>17</v>
      </c>
      <c r="I28" s="3" t="str">
        <f aca="false">Feuil1!I28</f>
        <v>Skis Alpin </v>
      </c>
      <c r="J28" s="3" t="str">
        <f aca="false">Feuil1!J28</f>
        <v>dynastar speed 4x4</v>
      </c>
      <c r="K28" s="3" t="str">
        <f aca="false">Feuil1!K28</f>
        <v>179 cm</v>
      </c>
      <c r="L28" s="3" t="n">
        <f aca="false">Feuil1!L28</f>
        <v>149</v>
      </c>
      <c r="M28" s="1" t="s">
        <v>17</v>
      </c>
      <c r="N28" s="1" t="s">
        <v>18</v>
      </c>
      <c r="O28" s="1" t="s">
        <v>19</v>
      </c>
      <c r="P28" s="4" t="n">
        <v>45973.466099537</v>
      </c>
      <c r="Q28" s="4" t="n">
        <v>45973.466099537</v>
      </c>
    </row>
    <row r="29" customFormat="false" ht="15" hidden="false" customHeight="false" outlineLevel="0" collapsed="false">
      <c r="A29" s="1" t="str">
        <f aca="false">Feuil1!H29</f>
        <v>52862</v>
      </c>
      <c r="B29" s="1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17</v>
      </c>
      <c r="H29" s="1" t="s">
        <v>17</v>
      </c>
      <c r="I29" s="3" t="str">
        <f aca="false">Feuil1!I29</f>
        <v>Skis Alpin </v>
      </c>
      <c r="J29" s="3" t="str">
        <f aca="false">Feuil1!J29</f>
        <v>dynastar speed 4x4</v>
      </c>
      <c r="K29" s="3" t="str">
        <f aca="false">Feuil1!K29</f>
        <v>164 cm</v>
      </c>
      <c r="L29" s="3" t="n">
        <f aca="false">Feuil1!L29</f>
        <v>169</v>
      </c>
      <c r="M29" s="1" t="s">
        <v>17</v>
      </c>
      <c r="N29" s="1" t="s">
        <v>18</v>
      </c>
      <c r="O29" s="1" t="s">
        <v>19</v>
      </c>
      <c r="P29" s="4" t="n">
        <v>45973.466099537</v>
      </c>
      <c r="Q29" s="4" t="n">
        <v>45973.466099537</v>
      </c>
    </row>
    <row r="30" customFormat="false" ht="15" hidden="false" customHeight="false" outlineLevel="0" collapsed="false">
      <c r="A30" s="1" t="str">
        <f aca="false">Feuil1!H30</f>
        <v>52863</v>
      </c>
      <c r="B30" s="1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I30" s="3" t="str">
        <f aca="false">Feuil1!I30</f>
        <v>Skis Alpin </v>
      </c>
      <c r="J30" s="3" t="str">
        <f aca="false">Feuil1!J30</f>
        <v>dynastar speed z10</v>
      </c>
      <c r="K30" s="3" t="str">
        <f aca="false">Feuil1!K30</f>
        <v>167 cm</v>
      </c>
      <c r="L30" s="3" t="n">
        <f aca="false">Feuil1!L30</f>
        <v>149</v>
      </c>
      <c r="M30" s="1" t="s">
        <v>17</v>
      </c>
      <c r="N30" s="1" t="s">
        <v>18</v>
      </c>
      <c r="O30" s="1" t="s">
        <v>19</v>
      </c>
      <c r="P30" s="4" t="n">
        <v>45973.466099537</v>
      </c>
      <c r="Q30" s="4" t="n">
        <v>45973.466099537</v>
      </c>
    </row>
    <row r="31" customFormat="false" ht="15" hidden="false" customHeight="false" outlineLevel="0" collapsed="false">
      <c r="A31" s="1" t="str">
        <f aca="false">Feuil1!H31</f>
        <v>52864</v>
      </c>
      <c r="B31" s="1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I31" s="3" t="str">
        <f aca="false">Feuil1!I31</f>
        <v>Skis Alpin </v>
      </c>
      <c r="J31" s="3" t="str">
        <f aca="false">Feuil1!J31</f>
        <v>elan ripstick</v>
      </c>
      <c r="K31" s="3" t="str">
        <f aca="false">Feuil1!K31</f>
        <v>177 cm</v>
      </c>
      <c r="L31" s="3" t="n">
        <f aca="false">Feuil1!L31</f>
        <v>149</v>
      </c>
      <c r="M31" s="1" t="s">
        <v>17</v>
      </c>
      <c r="N31" s="1" t="s">
        <v>18</v>
      </c>
      <c r="O31" s="1" t="s">
        <v>19</v>
      </c>
      <c r="P31" s="4" t="n">
        <v>45973.466099537</v>
      </c>
      <c r="Q31" s="4" t="n">
        <v>45973.466099537</v>
      </c>
    </row>
    <row r="32" customFormat="false" ht="15" hidden="false" customHeight="false" outlineLevel="0" collapsed="false">
      <c r="A32" s="1" t="str">
        <f aca="false">Feuil1!H32</f>
        <v>52865</v>
      </c>
      <c r="B32" s="1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17</v>
      </c>
      <c r="I32" s="3" t="str">
        <f aca="false">Feuil1!I32</f>
        <v>Skis Alpin </v>
      </c>
      <c r="J32" s="3" t="str">
        <f aca="false">Feuil1!J32</f>
        <v>elan ripstick</v>
      </c>
      <c r="K32" s="3" t="str">
        <f aca="false">Feuil1!K32</f>
        <v>172 cm</v>
      </c>
      <c r="L32" s="3" t="n">
        <f aca="false">Feuil1!L32</f>
        <v>129</v>
      </c>
      <c r="M32" s="1" t="s">
        <v>17</v>
      </c>
      <c r="N32" s="1" t="s">
        <v>18</v>
      </c>
      <c r="O32" s="1" t="s">
        <v>19</v>
      </c>
      <c r="P32" s="4" t="n">
        <v>45973.466099537</v>
      </c>
      <c r="Q32" s="4" t="n">
        <v>45973.466099537</v>
      </c>
    </row>
    <row r="33" customFormat="false" ht="15" hidden="false" customHeight="false" outlineLevel="0" collapsed="false">
      <c r="A33" s="1" t="str">
        <f aca="false">Feuil1!H33</f>
        <v>52866</v>
      </c>
      <c r="B33" s="1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17</v>
      </c>
      <c r="I33" s="3" t="str">
        <f aca="false">Feuil1!I33</f>
        <v>Skis Alpin </v>
      </c>
      <c r="J33" s="3" t="str">
        <f aca="false">Feuil1!J33</f>
        <v>elan amphibio</v>
      </c>
      <c r="K33" s="3" t="str">
        <f aca="false">Feuil1!K33</f>
        <v>168 cm</v>
      </c>
      <c r="L33" s="3" t="n">
        <f aca="false">Feuil1!L33</f>
        <v>129</v>
      </c>
      <c r="M33" s="1" t="s">
        <v>17</v>
      </c>
      <c r="N33" s="1" t="s">
        <v>18</v>
      </c>
      <c r="O33" s="1" t="s">
        <v>19</v>
      </c>
      <c r="P33" s="4" t="n">
        <v>45973.466099537</v>
      </c>
      <c r="Q33" s="4" t="n">
        <v>45973.466099537</v>
      </c>
    </row>
    <row r="34" customFormat="false" ht="15" hidden="false" customHeight="false" outlineLevel="0" collapsed="false">
      <c r="A34" s="1" t="str">
        <f aca="false">Feuil1!H34</f>
        <v>52867</v>
      </c>
      <c r="B34" s="1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17</v>
      </c>
      <c r="H34" s="1" t="s">
        <v>17</v>
      </c>
      <c r="I34" s="3" t="str">
        <f aca="false">Feuil1!I34</f>
        <v>Skis Alpin </v>
      </c>
      <c r="J34" s="3" t="str">
        <f aca="false">Feuil1!J34</f>
        <v>elan amphibio</v>
      </c>
      <c r="K34" s="3" t="str">
        <f aca="false">Feuil1!K34</f>
        <v>168 cm</v>
      </c>
      <c r="L34" s="3" t="n">
        <f aca="false">Feuil1!L34</f>
        <v>129</v>
      </c>
      <c r="M34" s="1" t="s">
        <v>17</v>
      </c>
      <c r="N34" s="1" t="s">
        <v>18</v>
      </c>
      <c r="O34" s="1" t="s">
        <v>19</v>
      </c>
      <c r="P34" s="4" t="n">
        <v>45973.466099537</v>
      </c>
      <c r="Q34" s="4" t="n">
        <v>45973.466099537</v>
      </c>
    </row>
    <row r="35" customFormat="false" ht="15" hidden="false" customHeight="false" outlineLevel="0" collapsed="false">
      <c r="A35" s="1" t="str">
        <f aca="false">Feuil1!H35</f>
        <v>52868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</v>
      </c>
      <c r="H35" s="1" t="s">
        <v>17</v>
      </c>
      <c r="I35" s="3" t="str">
        <f aca="false">Feuil1!I35</f>
        <v>Skis Alpin </v>
      </c>
      <c r="J35" s="3" t="str">
        <f aca="false">Feuil1!J35</f>
        <v>elan amphibio</v>
      </c>
      <c r="K35" s="3" t="str">
        <f aca="false">Feuil1!K35</f>
        <v>160 cm</v>
      </c>
      <c r="L35" s="3" t="n">
        <f aca="false">Feuil1!L35</f>
        <v>129</v>
      </c>
      <c r="M35" s="1" t="s">
        <v>17</v>
      </c>
      <c r="N35" s="1" t="s">
        <v>18</v>
      </c>
      <c r="O35" s="1" t="s">
        <v>19</v>
      </c>
      <c r="P35" s="4" t="n">
        <v>45973.466099537</v>
      </c>
      <c r="Q35" s="4" t="n">
        <v>45973.466099537</v>
      </c>
    </row>
    <row r="36" customFormat="false" ht="15" hidden="false" customHeight="false" outlineLevel="0" collapsed="false">
      <c r="A36" s="1" t="str">
        <f aca="false">Feuil1!H36</f>
        <v>52869</v>
      </c>
      <c r="B36" s="1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3" t="str">
        <f aca="false">Feuil1!I36</f>
        <v>Skis Alpin </v>
      </c>
      <c r="J36" s="3" t="str">
        <f aca="false">Feuil1!J36</f>
        <v>elan ripstick</v>
      </c>
      <c r="K36" s="3" t="str">
        <f aca="false">Feuil1!K36</f>
        <v>164 cm</v>
      </c>
      <c r="L36" s="3" t="n">
        <f aca="false">Feuil1!L36</f>
        <v>145</v>
      </c>
      <c r="M36" s="1" t="s">
        <v>17</v>
      </c>
      <c r="N36" s="1" t="s">
        <v>18</v>
      </c>
      <c r="O36" s="1" t="s">
        <v>19</v>
      </c>
      <c r="P36" s="4" t="n">
        <v>45973.466099537</v>
      </c>
      <c r="Q36" s="4" t="n">
        <v>45973.466099537</v>
      </c>
    </row>
    <row r="37" customFormat="false" ht="15" hidden="false" customHeight="false" outlineLevel="0" collapsed="false">
      <c r="A37" s="1" t="str">
        <f aca="false">Feuil1!H37</f>
        <v>52870</v>
      </c>
      <c r="B37" s="1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I37" s="3" t="str">
        <f aca="false">Feuil1!I37</f>
        <v>Skis Alpin </v>
      </c>
      <c r="J37" s="3" t="str">
        <f aca="false">Feuil1!J37</f>
        <v>elan ripstick</v>
      </c>
      <c r="K37" s="3" t="str">
        <f aca="false">Feuil1!K37</f>
        <v>158 cm</v>
      </c>
      <c r="L37" s="3" t="n">
        <f aca="false">Feuil1!L37</f>
        <v>145</v>
      </c>
      <c r="M37" s="1" t="s">
        <v>17</v>
      </c>
      <c r="N37" s="1" t="s">
        <v>18</v>
      </c>
      <c r="O37" s="1" t="s">
        <v>19</v>
      </c>
      <c r="P37" s="4" t="n">
        <v>45973.466099537</v>
      </c>
      <c r="Q37" s="4" t="n">
        <v>45973.466099537</v>
      </c>
    </row>
    <row r="38" customFormat="false" ht="15" hidden="false" customHeight="false" outlineLevel="0" collapsed="false">
      <c r="A38" s="1" t="str">
        <f aca="false">Feuil1!H38</f>
        <v>52871</v>
      </c>
      <c r="B38" s="1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</v>
      </c>
      <c r="H38" s="1" t="s">
        <v>17</v>
      </c>
      <c r="I38" s="3" t="str">
        <f aca="false">Feuil1!I38</f>
        <v>Skis Alpin </v>
      </c>
      <c r="J38" s="3" t="str">
        <f aca="false">Feuil1!J38</f>
        <v>elan ripstick</v>
      </c>
      <c r="K38" s="3" t="str">
        <f aca="false">Feuil1!K38</f>
        <v>152 cm</v>
      </c>
      <c r="L38" s="3" t="n">
        <f aca="false">Feuil1!L38</f>
        <v>145</v>
      </c>
      <c r="M38" s="1" t="s">
        <v>17</v>
      </c>
      <c r="N38" s="1" t="s">
        <v>18</v>
      </c>
      <c r="O38" s="1" t="s">
        <v>19</v>
      </c>
      <c r="P38" s="4" t="n">
        <v>45973.466099537</v>
      </c>
      <c r="Q38" s="4" t="n">
        <v>45973.466099537</v>
      </c>
    </row>
    <row r="39" customFormat="false" ht="15" hidden="false" customHeight="false" outlineLevel="0" collapsed="false">
      <c r="A39" s="1" t="str">
        <f aca="false">Feuil1!H39</f>
        <v>52872</v>
      </c>
      <c r="B39" s="1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I39" s="3" t="str">
        <f aca="false">Feuil1!I39</f>
        <v>Skis Alpin </v>
      </c>
      <c r="J39" s="3" t="str">
        <f aca="false">Feuil1!J39</f>
        <v>elan ripstick</v>
      </c>
      <c r="K39" s="3" t="str">
        <f aca="false">Feuil1!K39</f>
        <v>158 cm</v>
      </c>
      <c r="L39" s="3" t="n">
        <f aca="false">Feuil1!L39</f>
        <v>145</v>
      </c>
      <c r="M39" s="1" t="s">
        <v>17</v>
      </c>
      <c r="N39" s="1" t="s">
        <v>18</v>
      </c>
      <c r="O39" s="1" t="s">
        <v>19</v>
      </c>
      <c r="P39" s="4" t="n">
        <v>45973.466099537</v>
      </c>
      <c r="Q39" s="4" t="n">
        <v>45973.466099537</v>
      </c>
    </row>
    <row r="40" customFormat="false" ht="15" hidden="false" customHeight="false" outlineLevel="0" collapsed="false">
      <c r="A40" s="1" t="str">
        <f aca="false">Feuil1!H40</f>
        <v>52873</v>
      </c>
      <c r="B40" s="1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3" t="str">
        <f aca="false">Feuil1!I40</f>
        <v>Skis Alpin </v>
      </c>
      <c r="J40" s="3" t="str">
        <f aca="false">Feuil1!J40</f>
        <v>elan ripstick</v>
      </c>
      <c r="K40" s="3" t="str">
        <f aca="false">Feuil1!K40</f>
        <v>158 cm</v>
      </c>
      <c r="L40" s="3" t="n">
        <f aca="false">Feuil1!L40</f>
        <v>145</v>
      </c>
      <c r="M40" s="1" t="s">
        <v>17</v>
      </c>
      <c r="N40" s="1" t="s">
        <v>18</v>
      </c>
      <c r="O40" s="1" t="s">
        <v>19</v>
      </c>
      <c r="P40" s="4" t="n">
        <v>45973.466099537</v>
      </c>
      <c r="Q40" s="4" t="n">
        <v>45973.466099537</v>
      </c>
    </row>
    <row r="41" customFormat="false" ht="15" hidden="false" customHeight="false" outlineLevel="0" collapsed="false">
      <c r="A41" s="1" t="str">
        <f aca="false">Feuil1!H41</f>
        <v>52874</v>
      </c>
      <c r="B41" s="1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17</v>
      </c>
      <c r="H41" s="1" t="s">
        <v>17</v>
      </c>
      <c r="I41" s="3" t="str">
        <f aca="false">Feuil1!I41</f>
        <v>Skis Alpin </v>
      </c>
      <c r="J41" s="3" t="str">
        <f aca="false">Feuil1!J41</f>
        <v>elan element</v>
      </c>
      <c r="K41" s="3" t="str">
        <f aca="false">Feuil1!K41</f>
        <v>160 cm</v>
      </c>
      <c r="L41" s="3" t="n">
        <f aca="false">Feuil1!L41</f>
        <v>125</v>
      </c>
      <c r="M41" s="1" t="s">
        <v>17</v>
      </c>
      <c r="N41" s="1" t="s">
        <v>18</v>
      </c>
      <c r="O41" s="1" t="s">
        <v>19</v>
      </c>
      <c r="P41" s="4" t="n">
        <v>45973.466099537</v>
      </c>
      <c r="Q41" s="4" t="n">
        <v>45973.466099537</v>
      </c>
    </row>
    <row r="42" customFormat="false" ht="15" hidden="false" customHeight="false" outlineLevel="0" collapsed="false">
      <c r="A42" s="1" t="str">
        <f aca="false">Feuil1!H42</f>
        <v>52875</v>
      </c>
      <c r="B42" s="1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17</v>
      </c>
      <c r="H42" s="1" t="s">
        <v>17</v>
      </c>
      <c r="I42" s="3" t="str">
        <f aca="false">Feuil1!I42</f>
        <v>Skis Alpin </v>
      </c>
      <c r="J42" s="3" t="str">
        <f aca="false">Feuil1!J42</f>
        <v>elan explorer</v>
      </c>
      <c r="K42" s="3" t="str">
        <f aca="false">Feuil1!K42</f>
        <v>160 cm</v>
      </c>
      <c r="L42" s="3" t="n">
        <f aca="false">Feuil1!L42</f>
        <v>149</v>
      </c>
      <c r="M42" s="1" t="s">
        <v>17</v>
      </c>
      <c r="N42" s="1" t="s">
        <v>18</v>
      </c>
      <c r="O42" s="1" t="s">
        <v>19</v>
      </c>
      <c r="P42" s="4" t="n">
        <v>45973.466099537</v>
      </c>
      <c r="Q42" s="4" t="n">
        <v>45973.466099537</v>
      </c>
    </row>
    <row r="43" customFormat="false" ht="15" hidden="false" customHeight="false" outlineLevel="0" collapsed="false">
      <c r="A43" s="1" t="str">
        <f aca="false">Feuil1!H43</f>
        <v>52876</v>
      </c>
      <c r="B43" s="1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17</v>
      </c>
      <c r="H43" s="1" t="s">
        <v>17</v>
      </c>
      <c r="I43" s="3" t="str">
        <f aca="false">Feuil1!I43</f>
        <v>Skis Alpin </v>
      </c>
      <c r="J43" s="3" t="str">
        <f aca="false">Feuil1!J43</f>
        <v>elan wingam</v>
      </c>
      <c r="K43" s="3" t="str">
        <f aca="false">Feuil1!K43</f>
        <v>178 cm</v>
      </c>
      <c r="L43" s="3" t="n">
        <f aca="false">Feuil1!L43</f>
        <v>169</v>
      </c>
      <c r="M43" s="1" t="s">
        <v>17</v>
      </c>
      <c r="N43" s="1" t="s">
        <v>18</v>
      </c>
      <c r="O43" s="1" t="s">
        <v>19</v>
      </c>
      <c r="P43" s="4" t="n">
        <v>45973.466099537</v>
      </c>
      <c r="Q43" s="4" t="n">
        <v>45973.466099537</v>
      </c>
    </row>
    <row r="44" customFormat="false" ht="15" hidden="false" customHeight="false" outlineLevel="0" collapsed="false">
      <c r="A44" s="1" t="str">
        <f aca="false">Feuil1!H44</f>
        <v>52877</v>
      </c>
      <c r="B44" s="1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17</v>
      </c>
      <c r="H44" s="1" t="s">
        <v>17</v>
      </c>
      <c r="I44" s="3" t="str">
        <f aca="false">Feuil1!I44</f>
        <v>Skis Alpin </v>
      </c>
      <c r="J44" s="3" t="str">
        <f aca="false">Feuil1!J44</f>
        <v>elan inspire</v>
      </c>
      <c r="K44" s="3" t="str">
        <f aca="false">Feuil1!K44</f>
        <v>158 cm</v>
      </c>
      <c r="L44" s="3" t="n">
        <f aca="false">Feuil1!L44</f>
        <v>125</v>
      </c>
      <c r="M44" s="1" t="s">
        <v>17</v>
      </c>
      <c r="N44" s="1" t="s">
        <v>18</v>
      </c>
      <c r="O44" s="1" t="s">
        <v>19</v>
      </c>
      <c r="P44" s="4" t="n">
        <v>45973.466099537</v>
      </c>
      <c r="Q44" s="4" t="n">
        <v>45973.466099537</v>
      </c>
    </row>
    <row r="45" customFormat="false" ht="15" hidden="false" customHeight="false" outlineLevel="0" collapsed="false">
      <c r="A45" s="1" t="str">
        <f aca="false">Feuil1!H45</f>
        <v>52878</v>
      </c>
      <c r="B45" s="1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  <c r="I45" s="3" t="str">
        <f aca="false">Feuil1!I45</f>
        <v>Skis Alpin </v>
      </c>
      <c r="J45" s="3" t="str">
        <f aca="false">Feuil1!J45</f>
        <v>Salomon xdr</v>
      </c>
      <c r="K45" s="3" t="str">
        <f aca="false">Feuil1!K45</f>
        <v>160 cm</v>
      </c>
      <c r="L45" s="3" t="n">
        <f aca="false">Feuil1!L45</f>
        <v>115</v>
      </c>
      <c r="M45" s="1" t="s">
        <v>17</v>
      </c>
      <c r="N45" s="1" t="s">
        <v>18</v>
      </c>
      <c r="O45" s="1" t="s">
        <v>19</v>
      </c>
      <c r="P45" s="4" t="n">
        <v>45973.466099537</v>
      </c>
      <c r="Q45" s="4" t="n">
        <v>45973.466099537</v>
      </c>
    </row>
    <row r="46" customFormat="false" ht="15" hidden="false" customHeight="false" outlineLevel="0" collapsed="false">
      <c r="A46" s="1" t="str">
        <f aca="false">Feuil1!H46</f>
        <v>52879</v>
      </c>
      <c r="B46" s="1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I46" s="3" t="str">
        <f aca="false">Feuil1!I46</f>
        <v>Skis Alpin </v>
      </c>
      <c r="J46" s="3" t="str">
        <f aca="false">Feuil1!J46</f>
        <v>Salomon xdr</v>
      </c>
      <c r="K46" s="3" t="str">
        <f aca="false">Feuil1!K46</f>
        <v>160 cm</v>
      </c>
      <c r="L46" s="3" t="n">
        <f aca="false">Feuil1!L46</f>
        <v>115</v>
      </c>
      <c r="M46" s="1" t="s">
        <v>17</v>
      </c>
      <c r="N46" s="1" t="s">
        <v>18</v>
      </c>
      <c r="O46" s="1" t="s">
        <v>19</v>
      </c>
      <c r="P46" s="4" t="n">
        <v>45973.466099537</v>
      </c>
      <c r="Q46" s="4" t="n">
        <v>45973.466099537</v>
      </c>
    </row>
    <row r="47" customFormat="false" ht="15" hidden="false" customHeight="false" outlineLevel="0" collapsed="false">
      <c r="A47" s="1" t="str">
        <f aca="false">Feuil1!H47</f>
        <v>52880</v>
      </c>
      <c r="B47" s="1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17</v>
      </c>
      <c r="I47" s="3" t="str">
        <f aca="false">Feuil1!I47</f>
        <v>Skis Alpin </v>
      </c>
      <c r="J47" s="3" t="str">
        <f aca="false">Feuil1!J47</f>
        <v>Salomon xdr</v>
      </c>
      <c r="K47" s="3" t="str">
        <f aca="false">Feuil1!K47</f>
        <v>170 cm</v>
      </c>
      <c r="L47" s="3" t="n">
        <f aca="false">Feuil1!L47</f>
        <v>115</v>
      </c>
      <c r="M47" s="1" t="s">
        <v>17</v>
      </c>
      <c r="N47" s="1" t="s">
        <v>18</v>
      </c>
      <c r="O47" s="1" t="s">
        <v>19</v>
      </c>
      <c r="P47" s="4" t="n">
        <v>45973.466099537</v>
      </c>
      <c r="Q47" s="4" t="n">
        <v>45973.466099537</v>
      </c>
    </row>
    <row r="48" customFormat="false" ht="15" hidden="false" customHeight="false" outlineLevel="0" collapsed="false">
      <c r="A48" s="1" t="str">
        <f aca="false">Feuil1!H48</f>
        <v>52881</v>
      </c>
      <c r="B48" s="1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17</v>
      </c>
      <c r="H48" s="1" t="s">
        <v>17</v>
      </c>
      <c r="I48" s="3" t="str">
        <f aca="false">Feuil1!I48</f>
        <v>Skis Alpin </v>
      </c>
      <c r="J48" s="3" t="str">
        <f aca="false">Feuil1!J48</f>
        <v>Salomon xdr</v>
      </c>
      <c r="K48" s="3" t="str">
        <f aca="false">Feuil1!K48</f>
        <v>170 cm</v>
      </c>
      <c r="L48" s="3" t="n">
        <f aca="false">Feuil1!L48</f>
        <v>115</v>
      </c>
      <c r="M48" s="1" t="s">
        <v>17</v>
      </c>
      <c r="N48" s="1" t="s">
        <v>18</v>
      </c>
      <c r="O48" s="1" t="s">
        <v>19</v>
      </c>
      <c r="P48" s="4" t="n">
        <v>45973.466099537</v>
      </c>
      <c r="Q48" s="4" t="n">
        <v>45973.466099537</v>
      </c>
    </row>
    <row r="49" customFormat="false" ht="15" hidden="false" customHeight="false" outlineLevel="0" collapsed="false">
      <c r="A49" s="1" t="str">
        <f aca="false">Feuil1!H49</f>
        <v>52882</v>
      </c>
      <c r="B49" s="1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17</v>
      </c>
      <c r="H49" s="1" t="s">
        <v>17</v>
      </c>
      <c r="I49" s="3" t="str">
        <f aca="false">Feuil1!I49</f>
        <v>Skis Alpin </v>
      </c>
      <c r="J49" s="3" t="str">
        <f aca="false">Feuil1!J49</f>
        <v>Salomon max</v>
      </c>
      <c r="K49" s="3" t="str">
        <f aca="false">Feuil1!K49</f>
        <v>170 cm</v>
      </c>
      <c r="L49" s="3" t="n">
        <f aca="false">Feuil1!L49</f>
        <v>149</v>
      </c>
      <c r="M49" s="1" t="s">
        <v>17</v>
      </c>
      <c r="N49" s="1" t="s">
        <v>18</v>
      </c>
      <c r="O49" s="1" t="s">
        <v>19</v>
      </c>
      <c r="P49" s="4" t="n">
        <v>45973.466099537</v>
      </c>
      <c r="Q49" s="4" t="n">
        <v>45973.466099537</v>
      </c>
    </row>
    <row r="50" customFormat="false" ht="15" hidden="false" customHeight="false" outlineLevel="0" collapsed="false">
      <c r="A50" s="1" t="str">
        <f aca="false">Feuil1!H50</f>
        <v>52883</v>
      </c>
      <c r="B50" s="1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17</v>
      </c>
      <c r="H50" s="1" t="s">
        <v>17</v>
      </c>
      <c r="I50" s="3" t="str">
        <f aca="false">Feuil1!I50</f>
        <v>Skis Alpin </v>
      </c>
      <c r="J50" s="3" t="str">
        <f aca="false">Feuil1!J50</f>
        <v>Salomon max</v>
      </c>
      <c r="K50" s="3" t="str">
        <f aca="false">Feuil1!K50</f>
        <v>165 cm</v>
      </c>
      <c r="L50" s="3" t="n">
        <f aca="false">Feuil1!L50</f>
        <v>159</v>
      </c>
      <c r="M50" s="1" t="s">
        <v>17</v>
      </c>
      <c r="N50" s="1" t="s">
        <v>18</v>
      </c>
      <c r="O50" s="1" t="s">
        <v>19</v>
      </c>
      <c r="P50" s="4" t="n">
        <v>45973.466099537</v>
      </c>
      <c r="Q50" s="4" t="n">
        <v>45973.466099537</v>
      </c>
    </row>
    <row r="51" customFormat="false" ht="15" hidden="false" customHeight="false" outlineLevel="0" collapsed="false">
      <c r="A51" s="1" t="str">
        <f aca="false">Feuil1!H51</f>
        <v>52884</v>
      </c>
      <c r="B51" s="1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17</v>
      </c>
      <c r="H51" s="1" t="s">
        <v>17</v>
      </c>
      <c r="I51" s="3" t="str">
        <f aca="false">Feuil1!I51</f>
        <v>Skis Alpin </v>
      </c>
      <c r="J51" s="3" t="str">
        <f aca="false">Feuil1!J51</f>
        <v>Salomon max</v>
      </c>
      <c r="K51" s="3" t="str">
        <f aca="false">Feuil1!K51</f>
        <v>155 cm</v>
      </c>
      <c r="L51" s="3" t="n">
        <f aca="false">Feuil1!L51</f>
        <v>149</v>
      </c>
      <c r="M51" s="1" t="s">
        <v>17</v>
      </c>
      <c r="N51" s="1" t="s">
        <v>18</v>
      </c>
      <c r="O51" s="1" t="s">
        <v>19</v>
      </c>
      <c r="P51" s="4" t="n">
        <v>45973.466099537</v>
      </c>
      <c r="Q51" s="4" t="n">
        <v>45973.466099537</v>
      </c>
    </row>
    <row r="52" customFormat="false" ht="15" hidden="false" customHeight="false" outlineLevel="0" collapsed="false">
      <c r="A52" s="1" t="str">
        <f aca="false">Feuil1!H52</f>
        <v>52885</v>
      </c>
      <c r="B52" s="1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17</v>
      </c>
      <c r="H52" s="1" t="s">
        <v>17</v>
      </c>
      <c r="I52" s="3" t="str">
        <f aca="false">Feuil1!I52</f>
        <v>Skis Alpin </v>
      </c>
      <c r="J52" s="3" t="str">
        <f aca="false">Feuil1!J52</f>
        <v>Salomon max</v>
      </c>
      <c r="K52" s="3" t="str">
        <f aca="false">Feuil1!K52</f>
        <v>155 cm</v>
      </c>
      <c r="L52" s="3" t="n">
        <f aca="false">Feuil1!L52</f>
        <v>189</v>
      </c>
      <c r="M52" s="1" t="s">
        <v>17</v>
      </c>
      <c r="N52" s="1" t="s">
        <v>18</v>
      </c>
      <c r="O52" s="1" t="s">
        <v>19</v>
      </c>
      <c r="P52" s="4" t="n">
        <v>45973.466099537</v>
      </c>
      <c r="Q52" s="4" t="n">
        <v>45973.466099537</v>
      </c>
    </row>
    <row r="53" customFormat="false" ht="15" hidden="false" customHeight="false" outlineLevel="0" collapsed="false">
      <c r="A53" s="1" t="str">
        <f aca="false">Feuil1!H53</f>
        <v>52886</v>
      </c>
      <c r="B53" s="1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17</v>
      </c>
      <c r="H53" s="1" t="s">
        <v>17</v>
      </c>
      <c r="I53" s="3" t="str">
        <f aca="false">Feuil1!I53</f>
        <v>Skis Alpin </v>
      </c>
      <c r="J53" s="3" t="str">
        <f aca="false">Feuil1!J53</f>
        <v>Salomon force</v>
      </c>
      <c r="K53" s="3" t="str">
        <f aca="false">Feuil1!K53</f>
        <v>175 cm</v>
      </c>
      <c r="L53" s="3" t="n">
        <f aca="false">Feuil1!L53</f>
        <v>169</v>
      </c>
      <c r="M53" s="1" t="s">
        <v>17</v>
      </c>
      <c r="N53" s="1" t="s">
        <v>18</v>
      </c>
      <c r="O53" s="1" t="s">
        <v>19</v>
      </c>
      <c r="P53" s="4" t="n">
        <v>45973.466099537</v>
      </c>
      <c r="Q53" s="4" t="n">
        <v>45973.466099537</v>
      </c>
    </row>
    <row r="54" customFormat="false" ht="15" hidden="false" customHeight="false" outlineLevel="0" collapsed="false">
      <c r="A54" s="1" t="str">
        <f aca="false">Feuil1!H54</f>
        <v>52887</v>
      </c>
      <c r="B54" s="1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17</v>
      </c>
      <c r="H54" s="1" t="s">
        <v>17</v>
      </c>
      <c r="I54" s="3" t="str">
        <f aca="false">Feuil1!I54</f>
        <v>Skis Alpin </v>
      </c>
      <c r="J54" s="3" t="str">
        <f aca="false">Feuil1!J54</f>
        <v>Salomon addict</v>
      </c>
      <c r="K54" s="3" t="str">
        <f aca="false">Feuil1!K54</f>
        <v>163 cm</v>
      </c>
      <c r="L54" s="3" t="n">
        <f aca="false">Feuil1!L54</f>
        <v>169</v>
      </c>
      <c r="M54" s="1" t="s">
        <v>17</v>
      </c>
      <c r="N54" s="1" t="s">
        <v>18</v>
      </c>
      <c r="O54" s="1" t="s">
        <v>19</v>
      </c>
      <c r="P54" s="4" t="n">
        <v>45973.466099537</v>
      </c>
      <c r="Q54" s="4" t="n">
        <v>45973.466099537</v>
      </c>
    </row>
    <row r="55" customFormat="false" ht="15" hidden="false" customHeight="false" outlineLevel="0" collapsed="false">
      <c r="A55" s="1" t="str">
        <f aca="false">Feuil1!H55</f>
        <v>52888</v>
      </c>
      <c r="B55" s="1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17</v>
      </c>
      <c r="H55" s="1" t="s">
        <v>17</v>
      </c>
      <c r="I55" s="3" t="str">
        <f aca="false">Feuil1!I55</f>
        <v>Skis Alpin </v>
      </c>
      <c r="J55" s="3" t="str">
        <f aca="false">Feuil1!J55</f>
        <v>Salomon stance</v>
      </c>
      <c r="K55" s="3" t="str">
        <f aca="false">Feuil1!K55</f>
        <v>167 cm</v>
      </c>
      <c r="L55" s="3" t="n">
        <f aca="false">Feuil1!L55</f>
        <v>189</v>
      </c>
      <c r="M55" s="1" t="s">
        <v>17</v>
      </c>
      <c r="N55" s="1" t="s">
        <v>18</v>
      </c>
      <c r="O55" s="1" t="s">
        <v>19</v>
      </c>
      <c r="P55" s="4" t="n">
        <v>45973.466099537</v>
      </c>
      <c r="Q55" s="4" t="n">
        <v>45973.466099537</v>
      </c>
    </row>
    <row r="56" customFormat="false" ht="15" hidden="false" customHeight="false" outlineLevel="0" collapsed="false">
      <c r="A56" s="1" t="str">
        <f aca="false">Feuil1!H56</f>
        <v>52889</v>
      </c>
      <c r="B56" s="1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17</v>
      </c>
      <c r="H56" s="1" t="s">
        <v>17</v>
      </c>
      <c r="I56" s="3" t="str">
        <f aca="false">Feuil1!I56</f>
        <v>Skis Alpin </v>
      </c>
      <c r="J56" s="3" t="str">
        <f aca="false">Feuil1!J56</f>
        <v>Nordica spitfire</v>
      </c>
      <c r="K56" s="3" t="str">
        <f aca="false">Feuil1!K56</f>
        <v>174 cm</v>
      </c>
      <c r="L56" s="3" t="n">
        <f aca="false">Feuil1!L56</f>
        <v>115</v>
      </c>
      <c r="M56" s="1" t="s">
        <v>17</v>
      </c>
      <c r="N56" s="1" t="s">
        <v>18</v>
      </c>
      <c r="O56" s="1" t="s">
        <v>19</v>
      </c>
      <c r="P56" s="4" t="n">
        <v>45973.466099537</v>
      </c>
      <c r="Q56" s="4" t="n">
        <v>45973.466099537</v>
      </c>
    </row>
    <row r="57" customFormat="false" ht="15" hidden="false" customHeight="false" outlineLevel="0" collapsed="false">
      <c r="A57" s="1" t="str">
        <f aca="false">Feuil1!H57</f>
        <v>52890</v>
      </c>
      <c r="B57" s="1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17</v>
      </c>
      <c r="H57" s="1" t="s">
        <v>17</v>
      </c>
      <c r="I57" s="3" t="str">
        <f aca="false">Feuil1!I57</f>
        <v>Skis Alpin </v>
      </c>
      <c r="J57" s="3" t="str">
        <f aca="false">Feuil1!J57</f>
        <v>Nordica spitfire</v>
      </c>
      <c r="K57" s="3" t="str">
        <f aca="false">Feuil1!K57</f>
        <v>168 cm</v>
      </c>
      <c r="L57" s="3" t="n">
        <f aca="false">Feuil1!L57</f>
        <v>115</v>
      </c>
      <c r="M57" s="1" t="s">
        <v>17</v>
      </c>
      <c r="N57" s="1" t="s">
        <v>18</v>
      </c>
      <c r="O57" s="1" t="s">
        <v>19</v>
      </c>
      <c r="P57" s="4" t="n">
        <v>45973.466099537</v>
      </c>
      <c r="Q57" s="4" t="n">
        <v>45973.466099537</v>
      </c>
    </row>
    <row r="58" customFormat="false" ht="15" hidden="false" customHeight="false" outlineLevel="0" collapsed="false">
      <c r="A58" s="1" t="str">
        <f aca="false">Feuil1!H58</f>
        <v>52891</v>
      </c>
      <c r="B58" s="1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17</v>
      </c>
      <c r="H58" s="1" t="s">
        <v>17</v>
      </c>
      <c r="I58" s="3" t="str">
        <f aca="false">Feuil1!I58</f>
        <v>Skis Alpin </v>
      </c>
      <c r="J58" s="3" t="str">
        <f aca="false">Feuil1!J58</f>
        <v>Nordica spitfire</v>
      </c>
      <c r="K58" s="3" t="str">
        <f aca="false">Feuil1!K58</f>
        <v>162 cm</v>
      </c>
      <c r="L58" s="3" t="n">
        <f aca="false">Feuil1!L58</f>
        <v>115</v>
      </c>
      <c r="M58" s="1" t="s">
        <v>17</v>
      </c>
      <c r="N58" s="1" t="s">
        <v>18</v>
      </c>
      <c r="O58" s="1" t="s">
        <v>19</v>
      </c>
      <c r="P58" s="4" t="n">
        <v>45973.466099537</v>
      </c>
      <c r="Q58" s="4" t="n">
        <v>45973.466099537</v>
      </c>
    </row>
    <row r="59" customFormat="false" ht="15" hidden="false" customHeight="false" outlineLevel="0" collapsed="false">
      <c r="A59" s="1" t="str">
        <f aca="false">Feuil1!H59</f>
        <v>52892</v>
      </c>
      <c r="B59" s="1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17</v>
      </c>
      <c r="H59" s="1" t="s">
        <v>17</v>
      </c>
      <c r="I59" s="3" t="str">
        <f aca="false">Feuil1!I59</f>
        <v>Skis Alpin </v>
      </c>
      <c r="J59" s="3" t="str">
        <f aca="false">Feuil1!J59</f>
        <v>Nordica spitfire</v>
      </c>
      <c r="K59" s="3" t="str">
        <f aca="false">Feuil1!K59</f>
        <v>162 cm</v>
      </c>
      <c r="L59" s="3" t="n">
        <f aca="false">Feuil1!L59</f>
        <v>115</v>
      </c>
      <c r="M59" s="1" t="s">
        <v>17</v>
      </c>
      <c r="N59" s="1" t="s">
        <v>18</v>
      </c>
      <c r="O59" s="1" t="s">
        <v>19</v>
      </c>
      <c r="P59" s="4" t="n">
        <v>45973.466099537</v>
      </c>
      <c r="Q59" s="4" t="n">
        <v>45973.466099537</v>
      </c>
    </row>
    <row r="60" customFormat="false" ht="15" hidden="false" customHeight="false" outlineLevel="0" collapsed="false">
      <c r="A60" s="1" t="str">
        <f aca="false">Feuil1!H60</f>
        <v>52893</v>
      </c>
      <c r="B60" s="1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17</v>
      </c>
      <c r="H60" s="1" t="s">
        <v>17</v>
      </c>
      <c r="I60" s="3" t="str">
        <f aca="false">Feuil1!I60</f>
        <v>Skis Alpin </v>
      </c>
      <c r="J60" s="3" t="str">
        <f aca="false">Feuil1!J60</f>
        <v>Nordica spitfire</v>
      </c>
      <c r="K60" s="3" t="str">
        <f aca="false">Feuil1!K60</f>
        <v>162 cm</v>
      </c>
      <c r="L60" s="3" t="n">
        <f aca="false">Feuil1!L60</f>
        <v>115</v>
      </c>
      <c r="M60" s="1" t="s">
        <v>17</v>
      </c>
      <c r="N60" s="1" t="s">
        <v>18</v>
      </c>
      <c r="O60" s="1" t="s">
        <v>19</v>
      </c>
      <c r="P60" s="4" t="n">
        <v>45973.466099537</v>
      </c>
      <c r="Q60" s="4" t="n">
        <v>45973.466099537</v>
      </c>
    </row>
    <row r="61" customFormat="false" ht="15" hidden="false" customHeight="false" outlineLevel="0" collapsed="false">
      <c r="A61" s="1" t="str">
        <f aca="false">Feuil1!H61</f>
        <v>52894</v>
      </c>
      <c r="B61" s="1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17</v>
      </c>
      <c r="H61" s="1" t="s">
        <v>17</v>
      </c>
      <c r="I61" s="3" t="str">
        <f aca="false">Feuil1!I61</f>
        <v>Skis Alpin </v>
      </c>
      <c r="J61" s="3" t="str">
        <f aca="false">Feuil1!J61</f>
        <v>volkl rtm</v>
      </c>
      <c r="K61" s="3" t="str">
        <f aca="false">Feuil1!K61</f>
        <v>172 cm</v>
      </c>
      <c r="L61" s="3" t="n">
        <f aca="false">Feuil1!L61</f>
        <v>129</v>
      </c>
      <c r="M61" s="1" t="s">
        <v>17</v>
      </c>
      <c r="N61" s="1" t="s">
        <v>18</v>
      </c>
      <c r="O61" s="1" t="s">
        <v>19</v>
      </c>
      <c r="P61" s="4" t="n">
        <v>45973.466099537</v>
      </c>
      <c r="Q61" s="4" t="n">
        <v>45973.466099537</v>
      </c>
    </row>
    <row r="62" customFormat="false" ht="15" hidden="false" customHeight="false" outlineLevel="0" collapsed="false">
      <c r="A62" s="1" t="str">
        <f aca="false">Feuil1!H62</f>
        <v>52895</v>
      </c>
      <c r="B62" s="1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17</v>
      </c>
      <c r="H62" s="1" t="s">
        <v>17</v>
      </c>
      <c r="I62" s="3" t="str">
        <f aca="false">Feuil1!I62</f>
        <v>Skis Alpin </v>
      </c>
      <c r="J62" s="3" t="str">
        <f aca="false">Feuil1!J62</f>
        <v>volkl rtm</v>
      </c>
      <c r="K62" s="3" t="str">
        <f aca="false">Feuil1!K62</f>
        <v>172 cm</v>
      </c>
      <c r="L62" s="3" t="n">
        <f aca="false">Feuil1!L62</f>
        <v>129</v>
      </c>
      <c r="M62" s="1" t="s">
        <v>17</v>
      </c>
      <c r="N62" s="1" t="s">
        <v>18</v>
      </c>
      <c r="O62" s="1" t="s">
        <v>19</v>
      </c>
      <c r="P62" s="4" t="n">
        <v>45973.466099537</v>
      </c>
      <c r="Q62" s="4" t="n">
        <v>45973.466099537</v>
      </c>
    </row>
    <row r="63" customFormat="false" ht="15" hidden="false" customHeight="false" outlineLevel="0" collapsed="false">
      <c r="A63" s="1" t="str">
        <f aca="false">Feuil1!H63</f>
        <v>52896</v>
      </c>
      <c r="B63" s="1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17</v>
      </c>
      <c r="H63" s="1" t="s">
        <v>17</v>
      </c>
      <c r="I63" s="3" t="str">
        <f aca="false">Feuil1!I63</f>
        <v>Skis Alpin </v>
      </c>
      <c r="J63" s="3" t="str">
        <f aca="false">Feuil1!J63</f>
        <v>volkl kendo</v>
      </c>
      <c r="K63" s="3" t="str">
        <f aca="false">Feuil1!K63</f>
        <v>163 cm</v>
      </c>
      <c r="L63" s="3" t="n">
        <f aca="false">Feuil1!L63</f>
        <v>215</v>
      </c>
      <c r="M63" s="1" t="s">
        <v>17</v>
      </c>
      <c r="N63" s="1" t="s">
        <v>18</v>
      </c>
      <c r="O63" s="1" t="s">
        <v>19</v>
      </c>
      <c r="P63" s="4" t="n">
        <v>45973.466099537</v>
      </c>
      <c r="Q63" s="4" t="n">
        <v>45973.466099537</v>
      </c>
    </row>
    <row r="64" customFormat="false" ht="15" hidden="false" customHeight="false" outlineLevel="0" collapsed="false">
      <c r="A64" s="1" t="str">
        <f aca="false">Feuil1!H64</f>
        <v>52897</v>
      </c>
      <c r="B64" s="1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17</v>
      </c>
      <c r="H64" s="1" t="s">
        <v>17</v>
      </c>
      <c r="I64" s="3" t="str">
        <f aca="false">Feuil1!I64</f>
        <v>Skis Alpin </v>
      </c>
      <c r="J64" s="3" t="str">
        <f aca="false">Feuil1!J64</f>
        <v>Rossignol react</v>
      </c>
      <c r="K64" s="3" t="str">
        <f aca="false">Feuil1!K64</f>
        <v>177 cm</v>
      </c>
      <c r="L64" s="3" t="n">
        <f aca="false">Feuil1!L64</f>
        <v>145</v>
      </c>
      <c r="M64" s="1" t="s">
        <v>17</v>
      </c>
      <c r="N64" s="1" t="s">
        <v>18</v>
      </c>
      <c r="O64" s="1" t="s">
        <v>19</v>
      </c>
      <c r="P64" s="4" t="n">
        <v>45973.466099537</v>
      </c>
      <c r="Q64" s="4" t="n">
        <v>45973.466099537</v>
      </c>
    </row>
    <row r="65" customFormat="false" ht="15" hidden="false" customHeight="false" outlineLevel="0" collapsed="false">
      <c r="A65" s="1" t="str">
        <f aca="false">Feuil1!H65</f>
        <v>52898</v>
      </c>
      <c r="B65" s="1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17</v>
      </c>
      <c r="H65" s="1" t="s">
        <v>17</v>
      </c>
      <c r="I65" s="3" t="str">
        <f aca="false">Feuil1!I65</f>
        <v>Skis Alpin </v>
      </c>
      <c r="J65" s="3" t="str">
        <f aca="false">Feuil1!J65</f>
        <v>Rossignol react</v>
      </c>
      <c r="K65" s="3" t="str">
        <f aca="false">Feuil1!K65</f>
        <v>177 cm</v>
      </c>
      <c r="L65" s="3" t="n">
        <f aca="false">Feuil1!L65</f>
        <v>149</v>
      </c>
      <c r="M65" s="1" t="s">
        <v>17</v>
      </c>
      <c r="N65" s="1" t="s">
        <v>18</v>
      </c>
      <c r="O65" s="1" t="s">
        <v>19</v>
      </c>
      <c r="P65" s="4" t="n">
        <v>45973.466099537</v>
      </c>
      <c r="Q65" s="4" t="n">
        <v>45973.466099537</v>
      </c>
    </row>
    <row r="66" customFormat="false" ht="15" hidden="false" customHeight="false" outlineLevel="0" collapsed="false">
      <c r="A66" s="1" t="str">
        <f aca="false">Feuil1!H66</f>
        <v>52899</v>
      </c>
      <c r="B66" s="1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17</v>
      </c>
      <c r="H66" s="1" t="s">
        <v>17</v>
      </c>
      <c r="I66" s="3" t="str">
        <f aca="false">Feuil1!I66</f>
        <v>Skis Alpin </v>
      </c>
      <c r="J66" s="3" t="str">
        <f aca="false">Feuil1!J66</f>
        <v>Rossignol exp</v>
      </c>
      <c r="K66" s="3" t="str">
        <f aca="false">Feuil1!K66</f>
        <v>174 cm</v>
      </c>
      <c r="L66" s="3" t="n">
        <f aca="false">Feuil1!L66</f>
        <v>145</v>
      </c>
      <c r="M66" s="1" t="s">
        <v>17</v>
      </c>
      <c r="N66" s="1" t="s">
        <v>18</v>
      </c>
      <c r="O66" s="1" t="s">
        <v>19</v>
      </c>
      <c r="P66" s="4" t="n">
        <v>45973.466099537</v>
      </c>
      <c r="Q66" s="4" t="n">
        <v>45973.466099537</v>
      </c>
    </row>
    <row r="67" customFormat="false" ht="15" hidden="false" customHeight="false" outlineLevel="0" collapsed="false">
      <c r="A67" s="1" t="str">
        <f aca="false">Feuil1!H67</f>
        <v>52900</v>
      </c>
      <c r="B67" s="1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17</v>
      </c>
      <c r="H67" s="1" t="s">
        <v>17</v>
      </c>
      <c r="I67" s="3" t="str">
        <f aca="false">Feuil1!I67</f>
        <v>Skis Alpin </v>
      </c>
      <c r="J67" s="3" t="str">
        <f aca="false">Feuil1!J67</f>
        <v>dynastar speed 10</v>
      </c>
      <c r="K67" s="3" t="str">
        <f aca="false">Feuil1!K67</f>
        <v>175 cm</v>
      </c>
      <c r="L67" s="3" t="n">
        <f aca="false">Feuil1!L67</f>
        <v>149</v>
      </c>
      <c r="M67" s="1" t="s">
        <v>17</v>
      </c>
      <c r="N67" s="1" t="s">
        <v>18</v>
      </c>
      <c r="O67" s="1" t="s">
        <v>19</v>
      </c>
      <c r="P67" s="4" t="n">
        <v>45973.466099537</v>
      </c>
      <c r="Q67" s="4" t="n">
        <v>45973.466099537</v>
      </c>
    </row>
    <row r="68" customFormat="false" ht="15" hidden="false" customHeight="false" outlineLevel="0" collapsed="false">
      <c r="A68" s="1" t="str">
        <f aca="false">Feuil1!H68</f>
        <v>52901</v>
      </c>
      <c r="B68" s="1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17</v>
      </c>
      <c r="H68" s="1" t="s">
        <v>17</v>
      </c>
      <c r="I68" s="3" t="str">
        <f aca="false">Feuil1!I68</f>
        <v>Skis Alpin </v>
      </c>
      <c r="J68" s="3" t="str">
        <f aca="false">Feuil1!J68</f>
        <v>dynastar speed 4x4</v>
      </c>
      <c r="K68" s="3" t="str">
        <f aca="false">Feuil1!K68</f>
        <v>185 cm</v>
      </c>
      <c r="L68" s="3" t="n">
        <f aca="false">Feuil1!L68</f>
        <v>189</v>
      </c>
      <c r="M68" s="1" t="s">
        <v>17</v>
      </c>
      <c r="N68" s="1" t="s">
        <v>18</v>
      </c>
      <c r="O68" s="1" t="s">
        <v>19</v>
      </c>
      <c r="P68" s="4" t="n">
        <v>45973.466099537</v>
      </c>
      <c r="Q68" s="4" t="n">
        <v>45973.466099537</v>
      </c>
    </row>
    <row r="69" customFormat="false" ht="15" hidden="false" customHeight="false" outlineLevel="0" collapsed="false">
      <c r="A69" s="1" t="str">
        <f aca="false">Feuil1!H69</f>
        <v>52902</v>
      </c>
      <c r="B69" s="1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  <c r="I69" s="3" t="str">
        <f aca="false">Feuil1!I69</f>
        <v>Skis Alpin </v>
      </c>
      <c r="J69" s="3" t="str">
        <f aca="false">Feuil1!J69</f>
        <v>dynastar speed 4x4</v>
      </c>
      <c r="K69" s="3" t="str">
        <f aca="false">Feuil1!K69</f>
        <v>170 cm</v>
      </c>
      <c r="L69" s="3" t="n">
        <f aca="false">Feuil1!L69</f>
        <v>129</v>
      </c>
      <c r="M69" s="1" t="s">
        <v>17</v>
      </c>
      <c r="N69" s="1" t="s">
        <v>18</v>
      </c>
      <c r="O69" s="1" t="s">
        <v>19</v>
      </c>
      <c r="P69" s="4" t="n">
        <v>45973.466099537</v>
      </c>
      <c r="Q69" s="4" t="n">
        <v>45973.466099537</v>
      </c>
    </row>
    <row r="70" customFormat="false" ht="15" hidden="false" customHeight="false" outlineLevel="0" collapsed="false">
      <c r="A70" s="1" t="str">
        <f aca="false">Feuil1!H70</f>
        <v>52903</v>
      </c>
      <c r="B70" s="1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17</v>
      </c>
      <c r="H70" s="1" t="s">
        <v>17</v>
      </c>
      <c r="I70" s="3" t="str">
        <f aca="false">Feuil1!I70</f>
        <v>Skis Alpin </v>
      </c>
      <c r="J70" s="3" t="str">
        <f aca="false">Feuil1!J70</f>
        <v>elan ripstick</v>
      </c>
      <c r="K70" s="3" t="str">
        <f aca="false">Feuil1!K70</f>
        <v>188 cm</v>
      </c>
      <c r="L70" s="3" t="n">
        <f aca="false">Feuil1!L70</f>
        <v>145</v>
      </c>
      <c r="M70" s="1" t="s">
        <v>17</v>
      </c>
      <c r="N70" s="1" t="s">
        <v>18</v>
      </c>
      <c r="O70" s="1" t="s">
        <v>19</v>
      </c>
      <c r="P70" s="4" t="n">
        <v>45973.466099537</v>
      </c>
      <c r="Q70" s="4" t="n">
        <v>45973.466099537</v>
      </c>
    </row>
    <row r="71" customFormat="false" ht="15" hidden="false" customHeight="false" outlineLevel="0" collapsed="false">
      <c r="A71" s="1" t="str">
        <f aca="false">Feuil1!H71</f>
        <v>52904</v>
      </c>
      <c r="B71" s="1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17</v>
      </c>
      <c r="H71" s="1" t="s">
        <v>17</v>
      </c>
      <c r="I71" s="3" t="str">
        <f aca="false">Feuil1!I71</f>
        <v>Skis Alpin </v>
      </c>
      <c r="J71" s="3" t="str">
        <f aca="false">Feuil1!J71</f>
        <v>elan ripstick</v>
      </c>
      <c r="K71" s="3" t="str">
        <f aca="false">Feuil1!K71</f>
        <v>178 cm</v>
      </c>
      <c r="L71" s="3" t="n">
        <f aca="false">Feuil1!L71</f>
        <v>145</v>
      </c>
      <c r="M71" s="1" t="s">
        <v>17</v>
      </c>
      <c r="N71" s="1" t="s">
        <v>18</v>
      </c>
      <c r="O71" s="1" t="s">
        <v>19</v>
      </c>
      <c r="P71" s="4" t="n">
        <v>45973.466099537</v>
      </c>
      <c r="Q71" s="4" t="n">
        <v>45973.466099537</v>
      </c>
    </row>
    <row r="72" customFormat="false" ht="15" hidden="false" customHeight="false" outlineLevel="0" collapsed="false">
      <c r="A72" s="1" t="str">
        <f aca="false">Feuil1!H72</f>
        <v>52905</v>
      </c>
      <c r="B72" s="1" t="s">
        <v>17</v>
      </c>
      <c r="C72" s="1" t="s">
        <v>17</v>
      </c>
      <c r="D72" s="1" t="s">
        <v>17</v>
      </c>
      <c r="E72" s="1" t="s">
        <v>17</v>
      </c>
      <c r="F72" s="1" t="s">
        <v>17</v>
      </c>
      <c r="G72" s="1" t="s">
        <v>17</v>
      </c>
      <c r="H72" s="1" t="s">
        <v>17</v>
      </c>
      <c r="I72" s="3" t="str">
        <f aca="false">Feuil1!I72</f>
        <v>Skis Alpin </v>
      </c>
      <c r="J72" s="3" t="str">
        <f aca="false">Feuil1!J72</f>
        <v>elan amphibio</v>
      </c>
      <c r="K72" s="3" t="str">
        <f aca="false">Feuil1!K72</f>
        <v>176 cm</v>
      </c>
      <c r="L72" s="3" t="n">
        <f aca="false">Feuil1!L72</f>
        <v>145</v>
      </c>
      <c r="M72" s="1" t="s">
        <v>17</v>
      </c>
      <c r="N72" s="1" t="s">
        <v>18</v>
      </c>
      <c r="O72" s="1" t="s">
        <v>19</v>
      </c>
      <c r="P72" s="4" t="n">
        <v>45973.466099537</v>
      </c>
      <c r="Q72" s="4" t="n">
        <v>45973.466099537</v>
      </c>
    </row>
    <row r="73" customFormat="false" ht="15" hidden="false" customHeight="false" outlineLevel="0" collapsed="false">
      <c r="A73" s="1" t="str">
        <f aca="false">Feuil1!H73</f>
        <v>52906</v>
      </c>
      <c r="B73" s="1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17</v>
      </c>
      <c r="H73" s="1" t="s">
        <v>17</v>
      </c>
      <c r="I73" s="3" t="str">
        <f aca="false">Feuil1!I73</f>
        <v>Skis Alpin </v>
      </c>
      <c r="J73" s="3" t="str">
        <f aca="false">Feuil1!J73</f>
        <v>elan amphibio</v>
      </c>
      <c r="K73" s="3" t="str">
        <f aca="false">Feuil1!K73</f>
        <v>176 cm</v>
      </c>
      <c r="L73" s="3" t="n">
        <f aca="false">Feuil1!L73</f>
        <v>125</v>
      </c>
      <c r="M73" s="1" t="s">
        <v>17</v>
      </c>
      <c r="N73" s="1" t="s">
        <v>18</v>
      </c>
      <c r="O73" s="1" t="s">
        <v>19</v>
      </c>
      <c r="P73" s="4" t="n">
        <v>45973.466099537</v>
      </c>
      <c r="Q73" s="4" t="n">
        <v>45973.466099537</v>
      </c>
    </row>
    <row r="74" customFormat="false" ht="15" hidden="false" customHeight="false" outlineLevel="0" collapsed="false">
      <c r="A74" s="1" t="str">
        <f aca="false">Feuil1!H74</f>
        <v>52907</v>
      </c>
      <c r="B74" s="1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17</v>
      </c>
      <c r="H74" s="1" t="s">
        <v>17</v>
      </c>
      <c r="I74" s="3" t="str">
        <f aca="false">Feuil1!I74</f>
        <v>Skis Alpin </v>
      </c>
      <c r="J74" s="3" t="str">
        <f aca="false">Feuil1!J74</f>
        <v>elan ripstick</v>
      </c>
      <c r="K74" s="3" t="str">
        <f aca="false">Feuil1!K74</f>
        <v>164 cm</v>
      </c>
      <c r="L74" s="3" t="n">
        <f aca="false">Feuil1!L74</f>
        <v>125</v>
      </c>
      <c r="M74" s="1" t="s">
        <v>17</v>
      </c>
      <c r="N74" s="1" t="s">
        <v>18</v>
      </c>
      <c r="O74" s="1" t="s">
        <v>19</v>
      </c>
      <c r="P74" s="4" t="n">
        <v>45973.466099537</v>
      </c>
      <c r="Q74" s="4" t="n">
        <v>45973.466099537</v>
      </c>
    </row>
    <row r="75" customFormat="false" ht="15" hidden="false" customHeight="false" outlineLevel="0" collapsed="false">
      <c r="A75" s="1" t="str">
        <f aca="false">Feuil1!H75</f>
        <v>52908</v>
      </c>
      <c r="B75" s="1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17</v>
      </c>
      <c r="H75" s="1" t="s">
        <v>17</v>
      </c>
      <c r="I75" s="3" t="str">
        <f aca="false">Feuil1!I75</f>
        <v>Skis Alpin </v>
      </c>
      <c r="J75" s="3" t="str">
        <f aca="false">Feuil1!J75</f>
        <v>elan ripstick</v>
      </c>
      <c r="K75" s="3" t="str">
        <f aca="false">Feuil1!K75</f>
        <v>164 cm</v>
      </c>
      <c r="L75" s="3" t="n">
        <f aca="false">Feuil1!L75</f>
        <v>125</v>
      </c>
      <c r="M75" s="1" t="s">
        <v>17</v>
      </c>
      <c r="N75" s="1" t="s">
        <v>18</v>
      </c>
      <c r="O75" s="1" t="s">
        <v>19</v>
      </c>
      <c r="P75" s="4" t="n">
        <v>45973.466099537</v>
      </c>
      <c r="Q75" s="4" t="n">
        <v>45973.466099537</v>
      </c>
    </row>
    <row r="76" customFormat="false" ht="15" hidden="false" customHeight="false" outlineLevel="0" collapsed="false">
      <c r="A76" s="1" t="str">
        <f aca="false">Feuil1!H76</f>
        <v>52909</v>
      </c>
      <c r="B76" s="1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17</v>
      </c>
      <c r="H76" s="1" t="s">
        <v>17</v>
      </c>
      <c r="I76" s="3" t="str">
        <f aca="false">Feuil1!I76</f>
        <v>Skis Alpin </v>
      </c>
      <c r="J76" s="3" t="str">
        <f aca="false">Feuil1!J76</f>
        <v>dynastar legend</v>
      </c>
      <c r="K76" s="3" t="str">
        <f aca="false">Feuil1!K76</f>
        <v>170 cm</v>
      </c>
      <c r="L76" s="3" t="n">
        <f aca="false">Feuil1!L76</f>
        <v>115</v>
      </c>
      <c r="M76" s="1" t="s">
        <v>17</v>
      </c>
      <c r="N76" s="1" t="s">
        <v>18</v>
      </c>
      <c r="O76" s="1" t="s">
        <v>19</v>
      </c>
      <c r="P76" s="4" t="n">
        <v>45973.466099537</v>
      </c>
      <c r="Q76" s="4" t="n">
        <v>45973.466099537</v>
      </c>
    </row>
    <row r="77" customFormat="false" ht="15" hidden="false" customHeight="false" outlineLevel="0" collapsed="false">
      <c r="A77" s="1" t="str">
        <f aca="false">Feuil1!H77</f>
        <v>52910</v>
      </c>
      <c r="B77" s="1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17</v>
      </c>
      <c r="H77" s="1" t="s">
        <v>17</v>
      </c>
      <c r="I77" s="3" t="str">
        <f aca="false">Feuil1!I77</f>
        <v>Skis Alpin </v>
      </c>
      <c r="J77" s="3" t="str">
        <f aca="false">Feuil1!J77</f>
        <v>dynastar intense 10</v>
      </c>
      <c r="K77" s="3" t="str">
        <f aca="false">Feuil1!K77</f>
        <v>167 cm</v>
      </c>
      <c r="L77" s="3" t="n">
        <f aca="false">Feuil1!L77</f>
        <v>129</v>
      </c>
      <c r="M77" s="1" t="s">
        <v>17</v>
      </c>
      <c r="N77" s="1" t="s">
        <v>18</v>
      </c>
      <c r="O77" s="1" t="s">
        <v>19</v>
      </c>
      <c r="P77" s="4" t="n">
        <v>45973.466099537</v>
      </c>
      <c r="Q77" s="4" t="n">
        <v>45973.466099537</v>
      </c>
    </row>
    <row r="78" customFormat="false" ht="15" hidden="false" customHeight="false" outlineLevel="0" collapsed="false">
      <c r="A78" s="1" t="str">
        <f aca="false">Feuil1!H78</f>
        <v>52911</v>
      </c>
      <c r="B78" s="1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17</v>
      </c>
      <c r="H78" s="1" t="s">
        <v>17</v>
      </c>
      <c r="I78" s="3" t="str">
        <f aca="false">Feuil1!I78</f>
        <v>Skis Alpin </v>
      </c>
      <c r="J78" s="3" t="str">
        <f aca="false">Feuil1!J78</f>
        <v>dynastar speed 10</v>
      </c>
      <c r="K78" s="3" t="str">
        <f aca="false">Feuil1!K78</f>
        <v>153 cm</v>
      </c>
      <c r="L78" s="3" t="n">
        <f aca="false">Feuil1!L78</f>
        <v>149</v>
      </c>
      <c r="M78" s="1" t="s">
        <v>17</v>
      </c>
      <c r="N78" s="1" t="s">
        <v>18</v>
      </c>
      <c r="O78" s="1" t="s">
        <v>19</v>
      </c>
      <c r="P78" s="4" t="n">
        <v>45973.466099537</v>
      </c>
      <c r="Q78" s="4" t="n">
        <v>45973.466099537</v>
      </c>
    </row>
    <row r="79" customFormat="false" ht="15" hidden="false" customHeight="false" outlineLevel="0" collapsed="false">
      <c r="A79" s="1" t="str">
        <f aca="false">Feuil1!H79</f>
        <v>52912</v>
      </c>
      <c r="B79" s="1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17</v>
      </c>
      <c r="H79" s="1" t="s">
        <v>17</v>
      </c>
      <c r="I79" s="3" t="str">
        <f aca="false">Feuil1!I79</f>
        <v>Skis Alpin </v>
      </c>
      <c r="J79" s="3" t="str">
        <f aca="false">Feuil1!J79</f>
        <v>dynastar speed 11</v>
      </c>
      <c r="K79" s="3" t="str">
        <f aca="false">Feuil1!K79</f>
        <v>160 cm</v>
      </c>
      <c r="L79" s="3" t="n">
        <f aca="false">Feuil1!L79</f>
        <v>149</v>
      </c>
      <c r="M79" s="1" t="s">
        <v>17</v>
      </c>
      <c r="N79" s="1" t="s">
        <v>18</v>
      </c>
      <c r="O79" s="1" t="s">
        <v>19</v>
      </c>
      <c r="P79" s="4" t="n">
        <v>45973.466099537</v>
      </c>
      <c r="Q79" s="4" t="n">
        <v>45973.466099537</v>
      </c>
    </row>
    <row r="80" customFormat="false" ht="15" hidden="false" customHeight="false" outlineLevel="0" collapsed="false">
      <c r="A80" s="1" t="str">
        <f aca="false">Feuil1!H80</f>
        <v>52913</v>
      </c>
      <c r="B80" s="1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17</v>
      </c>
      <c r="H80" s="1" t="s">
        <v>17</v>
      </c>
      <c r="I80" s="3" t="str">
        <f aca="false">Feuil1!I80</f>
        <v>Skis Alpin </v>
      </c>
      <c r="J80" s="3" t="str">
        <f aca="false">Feuil1!J80</f>
        <v>Rossignol exp 84</v>
      </c>
      <c r="K80" s="3" t="str">
        <f aca="false">Feuil1!K80</f>
        <v>152 cm</v>
      </c>
      <c r="L80" s="3" t="n">
        <f aca="false">Feuil1!L80</f>
        <v>149</v>
      </c>
      <c r="M80" s="1" t="s">
        <v>17</v>
      </c>
      <c r="N80" s="1" t="s">
        <v>18</v>
      </c>
      <c r="O80" s="1" t="s">
        <v>19</v>
      </c>
      <c r="P80" s="4" t="n">
        <v>45973.466099537</v>
      </c>
      <c r="Q80" s="4" t="n">
        <v>45973.466099537</v>
      </c>
    </row>
    <row r="81" customFormat="false" ht="15" hidden="false" customHeight="false" outlineLevel="0" collapsed="false">
      <c r="A81" s="1" t="str">
        <f aca="false">Feuil1!H81</f>
        <v>52914</v>
      </c>
      <c r="B81" s="1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17</v>
      </c>
      <c r="H81" s="1" t="s">
        <v>17</v>
      </c>
      <c r="I81" s="3" t="str">
        <f aca="false">Feuil1!I81</f>
        <v>Skis Alpin </v>
      </c>
      <c r="J81" s="3" t="str">
        <f aca="false">Feuil1!J81</f>
        <v>Rossignol exp 84</v>
      </c>
      <c r="K81" s="3" t="str">
        <f aca="false">Feuil1!K81</f>
        <v>152 cm</v>
      </c>
      <c r="L81" s="3" t="n">
        <f aca="false">Feuil1!L81</f>
        <v>149</v>
      </c>
      <c r="M81" s="1" t="s">
        <v>17</v>
      </c>
      <c r="N81" s="1" t="s">
        <v>18</v>
      </c>
      <c r="O81" s="1" t="s">
        <v>19</v>
      </c>
      <c r="P81" s="4" t="n">
        <v>45973.466099537</v>
      </c>
      <c r="Q81" s="4" t="n">
        <v>45973.466099537</v>
      </c>
    </row>
    <row r="82" customFormat="false" ht="15" hidden="false" customHeight="false" outlineLevel="0" collapsed="false">
      <c r="A82" s="1" t="str">
        <f aca="false">Feuil1!H82</f>
        <v>52915</v>
      </c>
      <c r="B82" s="1" t="s">
        <v>17</v>
      </c>
      <c r="C82" s="1" t="s">
        <v>17</v>
      </c>
      <c r="D82" s="1" t="s">
        <v>17</v>
      </c>
      <c r="E82" s="1" t="s">
        <v>17</v>
      </c>
      <c r="F82" s="1" t="s">
        <v>17</v>
      </c>
      <c r="G82" s="1" t="s">
        <v>17</v>
      </c>
      <c r="H82" s="1" t="s">
        <v>17</v>
      </c>
      <c r="I82" s="3" t="str">
        <f aca="false">Feuil1!I82</f>
        <v>Skis Alpin </v>
      </c>
      <c r="J82" s="3" t="str">
        <f aca="false">Feuil1!J82</f>
        <v>Rossignol react</v>
      </c>
      <c r="K82" s="3" t="str">
        <f aca="false">Feuil1!K82</f>
        <v>163 cm</v>
      </c>
      <c r="L82" s="3" t="n">
        <f aca="false">Feuil1!L82</f>
        <v>125</v>
      </c>
      <c r="M82" s="1" t="s">
        <v>17</v>
      </c>
      <c r="N82" s="1" t="s">
        <v>18</v>
      </c>
      <c r="O82" s="1" t="s">
        <v>19</v>
      </c>
      <c r="P82" s="4" t="n">
        <v>45973.466099537</v>
      </c>
      <c r="Q82" s="4" t="n">
        <v>45973.466099537</v>
      </c>
    </row>
    <row r="83" customFormat="false" ht="15" hidden="false" customHeight="false" outlineLevel="0" collapsed="false">
      <c r="A83" s="1" t="str">
        <f aca="false">Feuil1!H83</f>
        <v>52916</v>
      </c>
      <c r="B83" s="1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17</v>
      </c>
      <c r="H83" s="1" t="s">
        <v>17</v>
      </c>
      <c r="I83" s="3" t="str">
        <f aca="false">Feuil1!I83</f>
        <v>Skis Alpin </v>
      </c>
      <c r="J83" s="3" t="str">
        <f aca="false">Feuil1!J83</f>
        <v>lacroix Lx</v>
      </c>
      <c r="K83" s="3" t="str">
        <f aca="false">Feuil1!K83</f>
        <v>165 cm</v>
      </c>
      <c r="L83" s="3" t="n">
        <f aca="false">Feuil1!L83</f>
        <v>215</v>
      </c>
      <c r="M83" s="1" t="s">
        <v>17</v>
      </c>
      <c r="N83" s="1" t="s">
        <v>18</v>
      </c>
      <c r="O83" s="1" t="s">
        <v>19</v>
      </c>
      <c r="P83" s="4" t="n">
        <v>45973.466099537</v>
      </c>
      <c r="Q83" s="4" t="n">
        <v>45973.466099537</v>
      </c>
    </row>
    <row r="84" customFormat="false" ht="15" hidden="false" customHeight="false" outlineLevel="0" collapsed="false">
      <c r="A84" s="1" t="str">
        <f aca="false">Feuil1!H84</f>
        <v>52917</v>
      </c>
      <c r="B84" s="1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17</v>
      </c>
      <c r="H84" s="1" t="s">
        <v>17</v>
      </c>
      <c r="I84" s="3" t="str">
        <f aca="false">Feuil1!I84</f>
        <v>Skis Alpin </v>
      </c>
      <c r="J84" s="3" t="str">
        <f aca="false">Feuil1!J84</f>
        <v>lacroix Lx</v>
      </c>
      <c r="K84" s="3" t="str">
        <f aca="false">Feuil1!K84</f>
        <v>165 cm</v>
      </c>
      <c r="L84" s="3" t="n">
        <f aca="false">Feuil1!L84</f>
        <v>215</v>
      </c>
      <c r="M84" s="1" t="s">
        <v>17</v>
      </c>
      <c r="N84" s="1" t="s">
        <v>18</v>
      </c>
      <c r="O84" s="1" t="s">
        <v>19</v>
      </c>
      <c r="P84" s="4" t="n">
        <v>45973.466099537</v>
      </c>
      <c r="Q84" s="4" t="n">
        <v>45973.466099537</v>
      </c>
    </row>
    <row r="85" customFormat="false" ht="15" hidden="false" customHeight="false" outlineLevel="0" collapsed="false">
      <c r="A85" s="1" t="str">
        <f aca="false">Feuil1!H85</f>
        <v>52918</v>
      </c>
      <c r="B85" s="1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17</v>
      </c>
      <c r="H85" s="1" t="s">
        <v>17</v>
      </c>
      <c r="I85" s="3" t="str">
        <f aca="false">Feuil1!I85</f>
        <v>Skis Alpin </v>
      </c>
      <c r="J85" s="3" t="str">
        <f aca="false">Feuil1!J85</f>
        <v>lacroix Lx</v>
      </c>
      <c r="K85" s="3" t="str">
        <f aca="false">Feuil1!K85</f>
        <v>170 cm</v>
      </c>
      <c r="L85" s="3" t="n">
        <f aca="false">Feuil1!L85</f>
        <v>215</v>
      </c>
      <c r="M85" s="1" t="s">
        <v>17</v>
      </c>
      <c r="N85" s="1" t="s">
        <v>18</v>
      </c>
      <c r="O85" s="1" t="s">
        <v>19</v>
      </c>
      <c r="P85" s="4" t="n">
        <v>45973.466099537</v>
      </c>
      <c r="Q85" s="4" t="n">
        <v>45973.466099537</v>
      </c>
    </row>
    <row r="86" customFormat="false" ht="15" hidden="false" customHeight="false" outlineLevel="0" collapsed="false">
      <c r="A86" s="1" t="str">
        <f aca="false">Feuil1!H86</f>
        <v>52919</v>
      </c>
      <c r="B86" s="1" t="s">
        <v>17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17</v>
      </c>
      <c r="H86" s="1" t="s">
        <v>17</v>
      </c>
      <c r="I86" s="3" t="str">
        <f aca="false">Feuil1!I86</f>
        <v>Skis Alpin </v>
      </c>
      <c r="J86" s="3" t="str">
        <f aca="false">Feuil1!J86</f>
        <v>Salomon max</v>
      </c>
      <c r="K86" s="3" t="str">
        <f aca="false">Feuil1!K86</f>
        <v>163 cm</v>
      </c>
      <c r="L86" s="3" t="n">
        <f aca="false">Feuil1!L86</f>
        <v>159</v>
      </c>
      <c r="M86" s="1" t="s">
        <v>17</v>
      </c>
      <c r="N86" s="1" t="s">
        <v>18</v>
      </c>
      <c r="O86" s="1" t="s">
        <v>19</v>
      </c>
      <c r="P86" s="4" t="n">
        <v>45973.466099537</v>
      </c>
      <c r="Q86" s="4" t="n">
        <v>45973.466099537</v>
      </c>
    </row>
    <row r="87" customFormat="false" ht="15" hidden="false" customHeight="false" outlineLevel="0" collapsed="false">
      <c r="A87" s="1" t="str">
        <f aca="false">Feuil1!H87</f>
        <v>52920</v>
      </c>
      <c r="B87" s="1" t="s">
        <v>17</v>
      </c>
      <c r="C87" s="1" t="s">
        <v>17</v>
      </c>
      <c r="D87" s="1" t="s">
        <v>17</v>
      </c>
      <c r="E87" s="1" t="s">
        <v>17</v>
      </c>
      <c r="F87" s="1" t="s">
        <v>17</v>
      </c>
      <c r="G87" s="1" t="s">
        <v>17</v>
      </c>
      <c r="H87" s="1" t="s">
        <v>17</v>
      </c>
      <c r="I87" s="3" t="str">
        <f aca="false">Feuil1!I87</f>
        <v>Skis Alpin </v>
      </c>
      <c r="J87" s="3" t="str">
        <f aca="false">Feuil1!J87</f>
        <v>atomic ventage</v>
      </c>
      <c r="K87" s="3" t="str">
        <f aca="false">Feuil1!K87</f>
        <v>165 cm</v>
      </c>
      <c r="L87" s="3" t="n">
        <f aca="false">Feuil1!L87</f>
        <v>169</v>
      </c>
      <c r="M87" s="1" t="s">
        <v>17</v>
      </c>
      <c r="N87" s="1" t="s">
        <v>18</v>
      </c>
      <c r="O87" s="1" t="s">
        <v>19</v>
      </c>
      <c r="P87" s="4" t="n">
        <v>45973.466099537</v>
      </c>
      <c r="Q87" s="4" t="n">
        <v>45973.466099537</v>
      </c>
    </row>
    <row r="88" customFormat="false" ht="15" hidden="false" customHeight="false" outlineLevel="0" collapsed="false">
      <c r="A88" s="1" t="str">
        <f aca="false">Feuil1!H88</f>
        <v>52921</v>
      </c>
      <c r="B88" s="1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17</v>
      </c>
      <c r="H88" s="1" t="s">
        <v>17</v>
      </c>
      <c r="I88" s="3" t="str">
        <f aca="false">Feuil1!I88</f>
        <v>Skis Alpin </v>
      </c>
      <c r="J88" s="3" t="str">
        <f aca="false">Feuil1!J88</f>
        <v>atomic redster</v>
      </c>
      <c r="K88" s="3" t="str">
        <f aca="false">Feuil1!K88</f>
        <v>163 cm</v>
      </c>
      <c r="L88" s="3" t="n">
        <f aca="false">Feuil1!L88</f>
        <v>149</v>
      </c>
      <c r="M88" s="1" t="s">
        <v>17</v>
      </c>
      <c r="N88" s="1" t="s">
        <v>18</v>
      </c>
      <c r="O88" s="1" t="s">
        <v>19</v>
      </c>
      <c r="P88" s="4" t="n">
        <v>45973.466099537</v>
      </c>
      <c r="Q88" s="4" t="n">
        <v>45973.466099537</v>
      </c>
    </row>
    <row r="89" customFormat="false" ht="15" hidden="false" customHeight="false" outlineLevel="0" collapsed="false">
      <c r="A89" s="1" t="str">
        <f aca="false">Feuil1!H89</f>
        <v>52922</v>
      </c>
      <c r="B89" s="1" t="s">
        <v>17</v>
      </c>
      <c r="C89" s="1" t="s">
        <v>17</v>
      </c>
      <c r="D89" s="1" t="s">
        <v>17</v>
      </c>
      <c r="E89" s="1" t="s">
        <v>17</v>
      </c>
      <c r="F89" s="1" t="s">
        <v>17</v>
      </c>
      <c r="G89" s="1" t="s">
        <v>17</v>
      </c>
      <c r="H89" s="1" t="s">
        <v>17</v>
      </c>
      <c r="I89" s="3" t="str">
        <f aca="false">Feuil1!I89</f>
        <v>Skis Alpin </v>
      </c>
      <c r="J89" s="3" t="str">
        <f aca="false">Feuil1!J89</f>
        <v>dynastar glory</v>
      </c>
      <c r="K89" s="3" t="str">
        <f aca="false">Feuil1!K89</f>
        <v>156 cm</v>
      </c>
      <c r="L89" s="3" t="n">
        <f aca="false">Feuil1!L89</f>
        <v>135</v>
      </c>
      <c r="M89" s="1" t="s">
        <v>17</v>
      </c>
      <c r="N89" s="1" t="s">
        <v>18</v>
      </c>
      <c r="O89" s="1" t="s">
        <v>19</v>
      </c>
      <c r="P89" s="4" t="n">
        <v>45973.466099537</v>
      </c>
      <c r="Q89" s="4" t="n">
        <v>45973.466099537</v>
      </c>
    </row>
    <row r="90" customFormat="false" ht="15" hidden="false" customHeight="false" outlineLevel="0" collapsed="false">
      <c r="A90" s="1" t="str">
        <f aca="false">Feuil1!H90</f>
        <v>52923</v>
      </c>
      <c r="B90" s="1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17</v>
      </c>
      <c r="H90" s="1" t="s">
        <v>17</v>
      </c>
      <c r="I90" s="3" t="str">
        <f aca="false">Feuil1!I90</f>
        <v>Skis Alpin </v>
      </c>
      <c r="J90" s="3" t="str">
        <f aca="false">Feuil1!J90</f>
        <v>dynastar legend</v>
      </c>
      <c r="K90" s="3" t="str">
        <f aca="false">Feuil1!K90</f>
        <v>149 cm</v>
      </c>
      <c r="L90" s="3" t="n">
        <f aca="false">Feuil1!L90</f>
        <v>115</v>
      </c>
      <c r="M90" s="1" t="s">
        <v>17</v>
      </c>
      <c r="N90" s="1" t="s">
        <v>18</v>
      </c>
      <c r="O90" s="1" t="s">
        <v>19</v>
      </c>
      <c r="P90" s="4" t="n">
        <v>45973.466099537</v>
      </c>
      <c r="Q90" s="4" t="n">
        <v>45973.466099537</v>
      </c>
    </row>
    <row r="91" customFormat="false" ht="15" hidden="false" customHeight="false" outlineLevel="0" collapsed="false">
      <c r="A91" s="1" t="str">
        <f aca="false">Feuil1!H91</f>
        <v>52924</v>
      </c>
      <c r="B91" s="1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17</v>
      </c>
      <c r="H91" s="1" t="s">
        <v>17</v>
      </c>
      <c r="I91" s="3" t="str">
        <f aca="false">Feuil1!I91</f>
        <v>Skis Alpin </v>
      </c>
      <c r="J91" s="3" t="str">
        <f aca="false">Feuil1!J91</f>
        <v>dynastar intense 8</v>
      </c>
      <c r="K91" s="3" t="str">
        <f aca="false">Feuil1!K91</f>
        <v>151 cm</v>
      </c>
      <c r="L91" s="3" t="n">
        <f aca="false">Feuil1!L91</f>
        <v>110</v>
      </c>
      <c r="M91" s="1" t="s">
        <v>17</v>
      </c>
      <c r="N91" s="1" t="s">
        <v>18</v>
      </c>
      <c r="O91" s="1" t="s">
        <v>19</v>
      </c>
      <c r="P91" s="4" t="n">
        <v>45973.466099537</v>
      </c>
      <c r="Q91" s="4" t="n">
        <v>45973.466099537</v>
      </c>
    </row>
    <row r="92" customFormat="false" ht="15" hidden="false" customHeight="false" outlineLevel="0" collapsed="false">
      <c r="A92" s="1" t="str">
        <f aca="false">Feuil1!H92</f>
        <v>52925</v>
      </c>
      <c r="B92" s="1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17</v>
      </c>
      <c r="H92" s="1" t="s">
        <v>17</v>
      </c>
      <c r="I92" s="3" t="str">
        <f aca="false">Feuil1!I92</f>
        <v>Skis Alpin </v>
      </c>
      <c r="J92" s="3" t="str">
        <f aca="false">Feuil1!J92</f>
        <v>dynastar intense 8</v>
      </c>
      <c r="K92" s="3" t="str">
        <f aca="false">Feuil1!K92</f>
        <v>151 cm</v>
      </c>
      <c r="L92" s="3" t="n">
        <f aca="false">Feuil1!L92</f>
        <v>110</v>
      </c>
      <c r="M92" s="1" t="s">
        <v>17</v>
      </c>
      <c r="N92" s="1" t="s">
        <v>18</v>
      </c>
      <c r="O92" s="1" t="s">
        <v>19</v>
      </c>
      <c r="P92" s="4" t="n">
        <v>45973.466099537</v>
      </c>
      <c r="Q92" s="4" t="n">
        <v>45973.466099537</v>
      </c>
    </row>
    <row r="93" customFormat="false" ht="15" hidden="false" customHeight="false" outlineLevel="0" collapsed="false">
      <c r="A93" s="1" t="str">
        <f aca="false">Feuil1!H93</f>
        <v>52926</v>
      </c>
      <c r="B93" s="1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17</v>
      </c>
      <c r="H93" s="1" t="s">
        <v>17</v>
      </c>
      <c r="I93" s="3" t="str">
        <f aca="false">Feuil1!I93</f>
        <v>Skis Alpin </v>
      </c>
      <c r="J93" s="3" t="str">
        <f aca="false">Feuil1!J93</f>
        <v>dynastar intense 8</v>
      </c>
      <c r="K93" s="3" t="str">
        <f aca="false">Feuil1!K93</f>
        <v>144 cm</v>
      </c>
      <c r="L93" s="3" t="n">
        <f aca="false">Feuil1!L93</f>
        <v>110</v>
      </c>
      <c r="M93" s="1" t="s">
        <v>17</v>
      </c>
      <c r="N93" s="1" t="s">
        <v>18</v>
      </c>
      <c r="O93" s="1" t="s">
        <v>19</v>
      </c>
      <c r="P93" s="4" t="n">
        <v>45973.466099537</v>
      </c>
      <c r="Q93" s="4" t="n">
        <v>45973.466099537</v>
      </c>
    </row>
    <row r="94" customFormat="false" ht="15" hidden="false" customHeight="false" outlineLevel="0" collapsed="false">
      <c r="A94" s="1" t="str">
        <f aca="false">Feuil1!H94</f>
        <v>52927</v>
      </c>
      <c r="B94" s="1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17</v>
      </c>
      <c r="H94" s="1" t="s">
        <v>17</v>
      </c>
      <c r="I94" s="3" t="str">
        <f aca="false">Feuil1!I94</f>
        <v>Skis Alpin </v>
      </c>
      <c r="J94" s="3" t="str">
        <f aca="false">Feuil1!J94</f>
        <v>dynastar glory</v>
      </c>
      <c r="K94" s="3" t="str">
        <f aca="false">Feuil1!K94</f>
        <v>142 cm</v>
      </c>
      <c r="L94" s="3" t="n">
        <f aca="false">Feuil1!L94</f>
        <v>110</v>
      </c>
      <c r="M94" s="1" t="s">
        <v>17</v>
      </c>
      <c r="N94" s="1" t="s">
        <v>18</v>
      </c>
      <c r="O94" s="1" t="s">
        <v>19</v>
      </c>
      <c r="P94" s="4" t="n">
        <v>45973.466099537</v>
      </c>
      <c r="Q94" s="4" t="n">
        <v>45973.466099537</v>
      </c>
    </row>
    <row r="95" customFormat="false" ht="15" hidden="false" customHeight="false" outlineLevel="0" collapsed="false">
      <c r="A95" s="1" t="str">
        <f aca="false">Feuil1!H95</f>
        <v>52928</v>
      </c>
      <c r="B95" s="1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17</v>
      </c>
      <c r="H95" s="1" t="s">
        <v>17</v>
      </c>
      <c r="I95" s="3" t="str">
        <f aca="false">Feuil1!I95</f>
        <v>Skis Alpin </v>
      </c>
      <c r="J95" s="3" t="str">
        <f aca="false">Feuil1!J95</f>
        <v>dynastar glory</v>
      </c>
      <c r="K95" s="3" t="str">
        <f aca="false">Feuil1!K95</f>
        <v>142 cm</v>
      </c>
      <c r="L95" s="3" t="n">
        <f aca="false">Feuil1!L95</f>
        <v>110</v>
      </c>
      <c r="M95" s="1" t="s">
        <v>17</v>
      </c>
      <c r="N95" s="1" t="s">
        <v>18</v>
      </c>
      <c r="O95" s="1" t="s">
        <v>19</v>
      </c>
      <c r="P95" s="4" t="n">
        <v>45973.466099537</v>
      </c>
      <c r="Q95" s="4" t="n">
        <v>45973.466099537</v>
      </c>
    </row>
    <row r="96" customFormat="false" ht="15" hidden="false" customHeight="false" outlineLevel="0" collapsed="false">
      <c r="A96" s="1" t="str">
        <f aca="false">Feuil1!H96</f>
        <v>52929</v>
      </c>
      <c r="B96" s="1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17</v>
      </c>
      <c r="H96" s="1" t="s">
        <v>17</v>
      </c>
      <c r="I96" s="3" t="str">
        <f aca="false">Feuil1!I96</f>
        <v>Skis Alpin </v>
      </c>
      <c r="J96" s="3" t="str">
        <f aca="false">Feuil1!J96</f>
        <v>dynastar glory</v>
      </c>
      <c r="K96" s="3" t="str">
        <f aca="false">Feuil1!K96</f>
        <v>149 cm</v>
      </c>
      <c r="L96" s="3" t="n">
        <f aca="false">Feuil1!L96</f>
        <v>110</v>
      </c>
      <c r="M96" s="1" t="s">
        <v>17</v>
      </c>
      <c r="N96" s="1" t="s">
        <v>18</v>
      </c>
      <c r="O96" s="1" t="s">
        <v>19</v>
      </c>
      <c r="P96" s="4" t="n">
        <v>45973.466099537</v>
      </c>
      <c r="Q96" s="4" t="n">
        <v>45973.466099537</v>
      </c>
    </row>
    <row r="97" customFormat="false" ht="15" hidden="false" customHeight="false" outlineLevel="0" collapsed="false">
      <c r="A97" s="1" t="str">
        <f aca="false">Feuil1!H97</f>
        <v>52930</v>
      </c>
      <c r="B97" s="1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17</v>
      </c>
      <c r="H97" s="1" t="s">
        <v>17</v>
      </c>
      <c r="I97" s="3" t="str">
        <f aca="false">Feuil1!I97</f>
        <v>Skis Alpin </v>
      </c>
      <c r="J97" s="3" t="str">
        <f aca="false">Feuil1!J97</f>
        <v>dynastar speed gt</v>
      </c>
      <c r="K97" s="3" t="str">
        <f aca="false">Feuil1!K97</f>
        <v>153 cm</v>
      </c>
      <c r="L97" s="3" t="n">
        <f aca="false">Feuil1!L97</f>
        <v>125</v>
      </c>
      <c r="M97" s="1" t="s">
        <v>17</v>
      </c>
      <c r="N97" s="1" t="s">
        <v>18</v>
      </c>
      <c r="O97" s="1" t="s">
        <v>19</v>
      </c>
      <c r="P97" s="4" t="n">
        <v>45973.466099537</v>
      </c>
      <c r="Q97" s="4" t="n">
        <v>45973.466099537</v>
      </c>
    </row>
    <row r="98" customFormat="false" ht="15" hidden="false" customHeight="false" outlineLevel="0" collapsed="false">
      <c r="A98" s="1" t="str">
        <f aca="false">Feuil1!H98</f>
        <v>52931</v>
      </c>
      <c r="B98" s="1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17</v>
      </c>
      <c r="H98" s="1" t="s">
        <v>17</v>
      </c>
      <c r="I98" s="3" t="str">
        <f aca="false">Feuil1!I98</f>
        <v>Skis Alpin </v>
      </c>
      <c r="J98" s="3" t="str">
        <f aca="false">Feuil1!J98</f>
        <v>dynastar intense</v>
      </c>
      <c r="K98" s="3" t="str">
        <f aca="false">Feuil1!K98</f>
        <v>150 cm</v>
      </c>
      <c r="L98" s="3" t="n">
        <f aca="false">Feuil1!L98</f>
        <v>135</v>
      </c>
      <c r="M98" s="1" t="s">
        <v>17</v>
      </c>
      <c r="N98" s="1" t="s">
        <v>18</v>
      </c>
      <c r="O98" s="1" t="s">
        <v>19</v>
      </c>
      <c r="P98" s="4" t="n">
        <v>45973.466099537</v>
      </c>
      <c r="Q98" s="4" t="n">
        <v>45973.466099537</v>
      </c>
    </row>
    <row r="99" customFormat="false" ht="15" hidden="false" customHeight="false" outlineLevel="0" collapsed="false">
      <c r="A99" s="1" t="str">
        <f aca="false">Feuil1!H99</f>
        <v>52932</v>
      </c>
      <c r="B99" s="1" t="s">
        <v>17</v>
      </c>
      <c r="C99" s="1" t="s">
        <v>17</v>
      </c>
      <c r="D99" s="1" t="s">
        <v>17</v>
      </c>
      <c r="E99" s="1" t="s">
        <v>17</v>
      </c>
      <c r="F99" s="1" t="s">
        <v>17</v>
      </c>
      <c r="G99" s="1" t="s">
        <v>17</v>
      </c>
      <c r="H99" s="1" t="s">
        <v>17</v>
      </c>
      <c r="I99" s="3" t="str">
        <f aca="false">Feuil1!I99</f>
        <v>Skis Alpin </v>
      </c>
      <c r="J99" s="3" t="str">
        <f aca="false">Feuil1!J99</f>
        <v>Rossignol famous</v>
      </c>
      <c r="K99" s="3" t="str">
        <f aca="false">Feuil1!K99</f>
        <v>156 cm</v>
      </c>
      <c r="L99" s="3" t="n">
        <f aca="false">Feuil1!L99</f>
        <v>125</v>
      </c>
      <c r="M99" s="1" t="s">
        <v>17</v>
      </c>
      <c r="N99" s="1" t="s">
        <v>18</v>
      </c>
      <c r="O99" s="1" t="s">
        <v>19</v>
      </c>
      <c r="P99" s="4" t="n">
        <v>45973.466099537</v>
      </c>
      <c r="Q99" s="4" t="n">
        <v>45973.466099537</v>
      </c>
    </row>
    <row r="100" customFormat="false" ht="15" hidden="false" customHeight="false" outlineLevel="0" collapsed="false">
      <c r="A100" s="1" t="str">
        <f aca="false">Feuil1!H100</f>
        <v>52933</v>
      </c>
      <c r="B100" s="1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17</v>
      </c>
      <c r="H100" s="1" t="s">
        <v>17</v>
      </c>
      <c r="I100" s="3" t="str">
        <f aca="false">Feuil1!I100</f>
        <v>Skis Alpin </v>
      </c>
      <c r="J100" s="3" t="str">
        <f aca="false">Feuil1!J100</f>
        <v>Rossignol famous</v>
      </c>
      <c r="K100" s="3" t="str">
        <f aca="false">Feuil1!K100</f>
        <v>156 cm</v>
      </c>
      <c r="L100" s="3" t="n">
        <f aca="false">Feuil1!L100</f>
        <v>125</v>
      </c>
      <c r="M100" s="1" t="s">
        <v>17</v>
      </c>
      <c r="N100" s="1" t="s">
        <v>18</v>
      </c>
      <c r="O100" s="1" t="s">
        <v>19</v>
      </c>
      <c r="P100" s="4" t="n">
        <v>45973.466099537</v>
      </c>
      <c r="Q100" s="4" t="n">
        <v>45973.466099537</v>
      </c>
    </row>
    <row r="101" customFormat="false" ht="15" hidden="false" customHeight="false" outlineLevel="0" collapsed="false">
      <c r="A101" s="1" t="str">
        <f aca="false">Feuil1!H101</f>
        <v>52934</v>
      </c>
      <c r="B101" s="1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17</v>
      </c>
      <c r="H101" s="1" t="s">
        <v>17</v>
      </c>
      <c r="I101" s="3" t="str">
        <f aca="false">Feuil1!I101</f>
        <v>Skis Alpin </v>
      </c>
      <c r="J101" s="3" t="str">
        <f aca="false">Feuil1!J101</f>
        <v>Rossignol famous</v>
      </c>
      <c r="K101" s="3" t="str">
        <f aca="false">Feuil1!K101</f>
        <v>149 cm</v>
      </c>
      <c r="L101" s="3" t="n">
        <f aca="false">Feuil1!L101</f>
        <v>125</v>
      </c>
      <c r="M101" s="1" t="s">
        <v>17</v>
      </c>
      <c r="N101" s="1" t="s">
        <v>18</v>
      </c>
      <c r="O101" s="1" t="s">
        <v>19</v>
      </c>
      <c r="P101" s="4" t="n">
        <v>45973.466099537</v>
      </c>
      <c r="Q101" s="4" t="n">
        <v>45973.466099537</v>
      </c>
    </row>
    <row r="102" customFormat="false" ht="15" hidden="false" customHeight="false" outlineLevel="0" collapsed="false">
      <c r="A102" s="1" t="str">
        <f aca="false">Feuil1!H102</f>
        <v>52935</v>
      </c>
      <c r="B102" s="1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17</v>
      </c>
      <c r="H102" s="1" t="s">
        <v>17</v>
      </c>
      <c r="I102" s="3" t="str">
        <f aca="false">Feuil1!I102</f>
        <v>Skis Alpin </v>
      </c>
      <c r="J102" s="3" t="str">
        <f aca="false">Feuil1!J102</f>
        <v>Rossignol famous</v>
      </c>
      <c r="K102" s="3" t="str">
        <f aca="false">Feuil1!K102</f>
        <v>149 cm</v>
      </c>
      <c r="L102" s="3" t="n">
        <f aca="false">Feuil1!L102</f>
        <v>110</v>
      </c>
      <c r="M102" s="1" t="s">
        <v>17</v>
      </c>
      <c r="N102" s="1" t="s">
        <v>18</v>
      </c>
      <c r="O102" s="1" t="s">
        <v>19</v>
      </c>
      <c r="P102" s="4" t="n">
        <v>45973.466099537</v>
      </c>
      <c r="Q102" s="4" t="n">
        <v>45973.466099537</v>
      </c>
    </row>
    <row r="103" customFormat="false" ht="15" hidden="false" customHeight="false" outlineLevel="0" collapsed="false">
      <c r="A103" s="1" t="str">
        <f aca="false">Feuil1!H103</f>
        <v>52936</v>
      </c>
      <c r="B103" s="1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17</v>
      </c>
      <c r="H103" s="1" t="s">
        <v>17</v>
      </c>
      <c r="I103" s="3" t="str">
        <f aca="false">Feuil1!I103</f>
        <v>Skis Alpin </v>
      </c>
      <c r="J103" s="3" t="str">
        <f aca="false">Feuil1!J103</f>
        <v>Rossignol famous</v>
      </c>
      <c r="K103" s="3" t="str">
        <f aca="false">Feuil1!K103</f>
        <v>142 cm</v>
      </c>
      <c r="L103" s="3" t="n">
        <f aca="false">Feuil1!L103</f>
        <v>110</v>
      </c>
      <c r="M103" s="1" t="s">
        <v>17</v>
      </c>
      <c r="N103" s="1" t="s">
        <v>18</v>
      </c>
      <c r="O103" s="1" t="s">
        <v>19</v>
      </c>
      <c r="P103" s="4" t="n">
        <v>45973.466099537</v>
      </c>
      <c r="Q103" s="4" t="n">
        <v>45973.466099537</v>
      </c>
    </row>
    <row r="104" customFormat="false" ht="15" hidden="false" customHeight="false" outlineLevel="0" collapsed="false">
      <c r="A104" s="1" t="str">
        <f aca="false">Feuil1!H104</f>
        <v>52937</v>
      </c>
      <c r="B104" s="1" t="s">
        <v>17</v>
      </c>
      <c r="C104" s="1" t="s">
        <v>17</v>
      </c>
      <c r="D104" s="1" t="s">
        <v>17</v>
      </c>
      <c r="E104" s="1" t="s">
        <v>17</v>
      </c>
      <c r="F104" s="1" t="s">
        <v>17</v>
      </c>
      <c r="G104" s="1" t="s">
        <v>17</v>
      </c>
      <c r="H104" s="1" t="s">
        <v>17</v>
      </c>
      <c r="I104" s="3" t="str">
        <f aca="false">Feuil1!I104</f>
        <v>Skis Alpin </v>
      </c>
      <c r="J104" s="3" t="str">
        <f aca="false">Feuil1!J104</f>
        <v>Rossignol nova 10</v>
      </c>
      <c r="K104" s="3" t="str">
        <f aca="false">Feuil1!K104</f>
        <v>153 cm</v>
      </c>
      <c r="L104" s="3" t="n">
        <f aca="false">Feuil1!L104</f>
        <v>145</v>
      </c>
      <c r="M104" s="1" t="s">
        <v>17</v>
      </c>
      <c r="N104" s="1" t="s">
        <v>18</v>
      </c>
      <c r="O104" s="1" t="s">
        <v>19</v>
      </c>
      <c r="P104" s="4" t="n">
        <v>45973.466099537</v>
      </c>
      <c r="Q104" s="4" t="n">
        <v>45973.466099537</v>
      </c>
    </row>
    <row r="105" customFormat="false" ht="15" hidden="false" customHeight="false" outlineLevel="0" collapsed="false">
      <c r="A105" s="1" t="str">
        <f aca="false">Feuil1!H105</f>
        <v>52938</v>
      </c>
      <c r="B105" s="1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17</v>
      </c>
      <c r="H105" s="1" t="s">
        <v>17</v>
      </c>
      <c r="I105" s="3" t="str">
        <f aca="false">Feuil1!I105</f>
        <v>Skis Alpin </v>
      </c>
      <c r="J105" s="3" t="str">
        <f aca="false">Feuil1!J105</f>
        <v>Rossignol nova 10</v>
      </c>
      <c r="K105" s="3" t="str">
        <f aca="false">Feuil1!K105</f>
        <v>160 cm</v>
      </c>
      <c r="L105" s="3" t="n">
        <f aca="false">Feuil1!L105</f>
        <v>145</v>
      </c>
      <c r="M105" s="1" t="s">
        <v>17</v>
      </c>
      <c r="N105" s="1" t="s">
        <v>18</v>
      </c>
      <c r="O105" s="1" t="s">
        <v>19</v>
      </c>
      <c r="P105" s="4" t="n">
        <v>45973.466099537</v>
      </c>
      <c r="Q105" s="4" t="n">
        <v>45973.466099537</v>
      </c>
    </row>
    <row r="106" customFormat="false" ht="15" hidden="false" customHeight="false" outlineLevel="0" collapsed="false">
      <c r="A106" s="1" t="str">
        <f aca="false">Feuil1!H106</f>
        <v>52939</v>
      </c>
      <c r="B106" s="1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17</v>
      </c>
      <c r="H106" s="1" t="s">
        <v>17</v>
      </c>
      <c r="I106" s="3" t="str">
        <f aca="false">Feuil1!I106</f>
        <v>Skis Alpin </v>
      </c>
      <c r="J106" s="3" t="str">
        <f aca="false">Feuil1!J106</f>
        <v>Rossignol pursuit</v>
      </c>
      <c r="K106" s="3" t="str">
        <f aca="false">Feuil1!K106</f>
        <v>163 cm</v>
      </c>
      <c r="L106" s="3" t="n">
        <f aca="false">Feuil1!L106</f>
        <v>125</v>
      </c>
      <c r="M106" s="1" t="s">
        <v>17</v>
      </c>
      <c r="N106" s="1" t="s">
        <v>18</v>
      </c>
      <c r="O106" s="1" t="s">
        <v>19</v>
      </c>
      <c r="P106" s="4" t="n">
        <v>45973.466099537</v>
      </c>
      <c r="Q106" s="4" t="n">
        <v>45973.466099537</v>
      </c>
    </row>
    <row r="107" customFormat="false" ht="15" hidden="false" customHeight="false" outlineLevel="0" collapsed="false">
      <c r="A107" s="1" t="str">
        <f aca="false">Feuil1!H107</f>
        <v>52940</v>
      </c>
      <c r="B107" s="1" t="s">
        <v>17</v>
      </c>
      <c r="C107" s="1" t="s">
        <v>17</v>
      </c>
      <c r="D107" s="1" t="s">
        <v>17</v>
      </c>
      <c r="E107" s="1" t="s">
        <v>17</v>
      </c>
      <c r="F107" s="1" t="s">
        <v>17</v>
      </c>
      <c r="G107" s="1" t="s">
        <v>17</v>
      </c>
      <c r="H107" s="1" t="s">
        <v>17</v>
      </c>
      <c r="I107" s="3" t="str">
        <f aca="false">Feuil1!I107</f>
        <v>Skis Alpin </v>
      </c>
      <c r="J107" s="3" t="str">
        <f aca="false">Feuil1!J107</f>
        <v>Rossignol pursuit</v>
      </c>
      <c r="K107" s="3" t="str">
        <f aca="false">Feuil1!K107</f>
        <v>163 cm</v>
      </c>
      <c r="L107" s="3" t="n">
        <f aca="false">Feuil1!L107</f>
        <v>125</v>
      </c>
      <c r="M107" s="1" t="s">
        <v>17</v>
      </c>
      <c r="N107" s="1" t="s">
        <v>18</v>
      </c>
      <c r="O107" s="1" t="s">
        <v>19</v>
      </c>
      <c r="P107" s="4" t="n">
        <v>45973.466099537</v>
      </c>
      <c r="Q107" s="4" t="n">
        <v>45973.466099537</v>
      </c>
    </row>
    <row r="108" customFormat="false" ht="15" hidden="false" customHeight="false" outlineLevel="0" collapsed="false">
      <c r="A108" s="1" t="str">
        <f aca="false">Feuil1!H108</f>
        <v>52941</v>
      </c>
      <c r="B108" s="1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17</v>
      </c>
      <c r="H108" s="1" t="s">
        <v>17</v>
      </c>
      <c r="I108" s="3" t="str">
        <f aca="false">Feuil1!I108</f>
        <v>Skis Alpin </v>
      </c>
      <c r="J108" s="3" t="str">
        <f aca="false">Feuil1!J108</f>
        <v>Rossignol pursuit</v>
      </c>
      <c r="K108" s="3" t="str">
        <f aca="false">Feuil1!K108</f>
        <v>142 cm</v>
      </c>
      <c r="L108" s="3" t="n">
        <f aca="false">Feuil1!L108</f>
        <v>125</v>
      </c>
      <c r="M108" s="1" t="s">
        <v>17</v>
      </c>
      <c r="N108" s="1" t="s">
        <v>18</v>
      </c>
      <c r="O108" s="1" t="s">
        <v>19</v>
      </c>
      <c r="P108" s="4" t="n">
        <v>45973.466099537</v>
      </c>
      <c r="Q108" s="4" t="n">
        <v>45973.466099537</v>
      </c>
    </row>
    <row r="109" customFormat="false" ht="15" hidden="false" customHeight="false" outlineLevel="0" collapsed="false">
      <c r="A109" s="1" t="str">
        <f aca="false">Feuil1!H109</f>
        <v>52942</v>
      </c>
      <c r="B109" s="1" t="s">
        <v>17</v>
      </c>
      <c r="C109" s="1" t="s">
        <v>17</v>
      </c>
      <c r="D109" s="1" t="s">
        <v>17</v>
      </c>
      <c r="E109" s="1" t="s">
        <v>17</v>
      </c>
      <c r="F109" s="1" t="s">
        <v>17</v>
      </c>
      <c r="G109" s="1" t="s">
        <v>17</v>
      </c>
      <c r="H109" s="1" t="s">
        <v>17</v>
      </c>
      <c r="I109" s="3" t="str">
        <f aca="false">Feuil1!I109</f>
        <v>Skis Alpin </v>
      </c>
      <c r="J109" s="3" t="str">
        <f aca="false">Feuil1!J109</f>
        <v>Rossignol pursuit</v>
      </c>
      <c r="K109" s="3" t="str">
        <f aca="false">Feuil1!K109</f>
        <v>142 cm</v>
      </c>
      <c r="L109" s="3" t="n">
        <f aca="false">Feuil1!L109</f>
        <v>125</v>
      </c>
      <c r="M109" s="1" t="s">
        <v>17</v>
      </c>
      <c r="N109" s="1" t="s">
        <v>18</v>
      </c>
      <c r="O109" s="1" t="s">
        <v>19</v>
      </c>
      <c r="P109" s="4" t="n">
        <v>45973.466099537</v>
      </c>
      <c r="Q109" s="4" t="n">
        <v>45973.466099537</v>
      </c>
    </row>
    <row r="110" customFormat="false" ht="15" hidden="false" customHeight="false" outlineLevel="0" collapsed="false">
      <c r="A110" s="1" t="str">
        <f aca="false">Feuil1!H110</f>
        <v>52943</v>
      </c>
      <c r="B110" s="1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17</v>
      </c>
      <c r="H110" s="1" t="s">
        <v>17</v>
      </c>
      <c r="I110" s="3" t="str">
        <f aca="false">Feuil1!I110</f>
        <v>Skis Alpin </v>
      </c>
      <c r="J110" s="3" t="str">
        <f aca="false">Feuil1!J110</f>
        <v>volkl flair</v>
      </c>
      <c r="K110" s="3" t="str">
        <f aca="false">Feuil1!K110</f>
        <v>151 cm</v>
      </c>
      <c r="L110" s="3" t="n">
        <f aca="false">Feuil1!L110</f>
        <v>115</v>
      </c>
      <c r="M110" s="1" t="s">
        <v>17</v>
      </c>
      <c r="N110" s="1" t="s">
        <v>18</v>
      </c>
      <c r="O110" s="1" t="s">
        <v>19</v>
      </c>
      <c r="P110" s="4" t="n">
        <v>45973.466099537</v>
      </c>
      <c r="Q110" s="4" t="n">
        <v>45973.466099537</v>
      </c>
    </row>
    <row r="111" customFormat="false" ht="15" hidden="false" customHeight="false" outlineLevel="0" collapsed="false">
      <c r="A111" s="1" t="str">
        <f aca="false">Feuil1!H111</f>
        <v>52944</v>
      </c>
      <c r="B111" s="1" t="s">
        <v>17</v>
      </c>
      <c r="C111" s="1" t="s">
        <v>17</v>
      </c>
      <c r="D111" s="1" t="s">
        <v>17</v>
      </c>
      <c r="E111" s="1" t="s">
        <v>17</v>
      </c>
      <c r="F111" s="1" t="s">
        <v>17</v>
      </c>
      <c r="G111" s="1" t="s">
        <v>17</v>
      </c>
      <c r="H111" s="1" t="s">
        <v>17</v>
      </c>
      <c r="I111" s="3" t="str">
        <f aca="false">Feuil1!I111</f>
        <v>Skis Alpin </v>
      </c>
      <c r="J111" s="3" t="str">
        <f aca="false">Feuil1!J111</f>
        <v>volkl flair</v>
      </c>
      <c r="K111" s="3" t="str">
        <f aca="false">Feuil1!K111</f>
        <v>149 cm</v>
      </c>
      <c r="L111" s="3" t="n">
        <f aca="false">Feuil1!L111</f>
        <v>125</v>
      </c>
      <c r="M111" s="1" t="s">
        <v>17</v>
      </c>
      <c r="N111" s="1" t="s">
        <v>18</v>
      </c>
      <c r="O111" s="1" t="s">
        <v>19</v>
      </c>
      <c r="P111" s="4" t="n">
        <v>45973.466099537</v>
      </c>
      <c r="Q111" s="4" t="n">
        <v>45973.466099537</v>
      </c>
    </row>
    <row r="112" customFormat="false" ht="15" hidden="false" customHeight="false" outlineLevel="0" collapsed="false">
      <c r="A112" s="1" t="str">
        <f aca="false">Feuil1!H112</f>
        <v>52945</v>
      </c>
      <c r="B112" s="1" t="s">
        <v>17</v>
      </c>
      <c r="C112" s="1" t="s">
        <v>17</v>
      </c>
      <c r="D112" s="1" t="s">
        <v>17</v>
      </c>
      <c r="E112" s="1" t="s">
        <v>17</v>
      </c>
      <c r="F112" s="1" t="s">
        <v>17</v>
      </c>
      <c r="G112" s="1" t="s">
        <v>17</v>
      </c>
      <c r="H112" s="1" t="s">
        <v>17</v>
      </c>
      <c r="I112" s="3" t="str">
        <f aca="false">Feuil1!I112</f>
        <v>Skis Alpin </v>
      </c>
      <c r="J112" s="3" t="str">
        <f aca="false">Feuil1!J112</f>
        <v>volkl flair</v>
      </c>
      <c r="K112" s="3" t="str">
        <f aca="false">Feuil1!K112</f>
        <v>151 cm</v>
      </c>
      <c r="L112" s="3" t="n">
        <f aca="false">Feuil1!L112</f>
        <v>135</v>
      </c>
      <c r="M112" s="1" t="s">
        <v>17</v>
      </c>
      <c r="N112" s="1" t="s">
        <v>18</v>
      </c>
      <c r="O112" s="1" t="s">
        <v>19</v>
      </c>
      <c r="P112" s="4" t="n">
        <v>45973.466099537</v>
      </c>
      <c r="Q112" s="4" t="n">
        <v>45973.466099537</v>
      </c>
    </row>
    <row r="113" customFormat="false" ht="15" hidden="false" customHeight="false" outlineLevel="0" collapsed="false">
      <c r="A113" s="1" t="str">
        <f aca="false">Feuil1!H113</f>
        <v>52946</v>
      </c>
      <c r="B113" s="1" t="s">
        <v>17</v>
      </c>
      <c r="C113" s="1" t="s">
        <v>17</v>
      </c>
      <c r="D113" s="1" t="s">
        <v>17</v>
      </c>
      <c r="E113" s="1" t="s">
        <v>17</v>
      </c>
      <c r="F113" s="1" t="s">
        <v>17</v>
      </c>
      <c r="G113" s="1" t="s">
        <v>17</v>
      </c>
      <c r="H113" s="1" t="s">
        <v>17</v>
      </c>
      <c r="I113" s="3" t="str">
        <f aca="false">Feuil1!I113</f>
        <v>Skis Alpin </v>
      </c>
      <c r="J113" s="3" t="str">
        <f aca="false">Feuil1!J113</f>
        <v>volkl flair</v>
      </c>
      <c r="K113" s="3" t="str">
        <f aca="false">Feuil1!K113</f>
        <v>147 cm</v>
      </c>
      <c r="L113" s="3" t="n">
        <f aca="false">Feuil1!L113</f>
        <v>135</v>
      </c>
      <c r="M113" s="1" t="s">
        <v>17</v>
      </c>
      <c r="N113" s="1" t="s">
        <v>18</v>
      </c>
      <c r="O113" s="1" t="s">
        <v>19</v>
      </c>
      <c r="P113" s="4" t="n">
        <v>45973.466099537</v>
      </c>
      <c r="Q113" s="4" t="n">
        <v>45973.466099537</v>
      </c>
    </row>
    <row r="114" customFormat="false" ht="15" hidden="false" customHeight="false" outlineLevel="0" collapsed="false">
      <c r="A114" s="1" t="str">
        <f aca="false">Feuil1!H114</f>
        <v>52947</v>
      </c>
      <c r="B114" s="1" t="s">
        <v>17</v>
      </c>
      <c r="C114" s="1" t="s">
        <v>17</v>
      </c>
      <c r="D114" s="1" t="s">
        <v>17</v>
      </c>
      <c r="E114" s="1" t="s">
        <v>17</v>
      </c>
      <c r="F114" s="1" t="s">
        <v>17</v>
      </c>
      <c r="G114" s="1" t="s">
        <v>17</v>
      </c>
      <c r="H114" s="1" t="s">
        <v>17</v>
      </c>
      <c r="I114" s="3" t="str">
        <f aca="false">Feuil1!I114</f>
        <v>Skis Alpin </v>
      </c>
      <c r="J114" s="3" t="str">
        <f aca="false">Feuil1!J114</f>
        <v>volkl rtm</v>
      </c>
      <c r="K114" s="3" t="str">
        <f aca="false">Feuil1!K114</f>
        <v>149 cm</v>
      </c>
      <c r="L114" s="3" t="n">
        <f aca="false">Feuil1!L114</f>
        <v>135</v>
      </c>
      <c r="M114" s="1" t="s">
        <v>17</v>
      </c>
      <c r="N114" s="1" t="s">
        <v>18</v>
      </c>
      <c r="O114" s="1" t="s">
        <v>19</v>
      </c>
      <c r="P114" s="4" t="n">
        <v>45973.466099537</v>
      </c>
      <c r="Q114" s="4" t="n">
        <v>45973.466099537</v>
      </c>
    </row>
    <row r="115" customFormat="false" ht="15" hidden="false" customHeight="false" outlineLevel="0" collapsed="false">
      <c r="A115" s="1" t="str">
        <f aca="false">Feuil1!H115</f>
        <v>52948</v>
      </c>
      <c r="B115" s="1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17</v>
      </c>
      <c r="H115" s="1" t="s">
        <v>17</v>
      </c>
      <c r="I115" s="3" t="str">
        <f aca="false">Feuil1!I115</f>
        <v>Skis Alpin </v>
      </c>
      <c r="J115" s="3" t="str">
        <f aca="false">Feuil1!J115</f>
        <v>volkl flair</v>
      </c>
      <c r="K115" s="3" t="str">
        <f aca="false">Feuil1!K115</f>
        <v>149 cm</v>
      </c>
      <c r="L115" s="3" t="n">
        <f aca="false">Feuil1!L115</f>
        <v>135</v>
      </c>
      <c r="M115" s="1" t="s">
        <v>17</v>
      </c>
      <c r="N115" s="1" t="s">
        <v>18</v>
      </c>
      <c r="O115" s="1" t="s">
        <v>19</v>
      </c>
      <c r="P115" s="4" t="n">
        <v>45973.466099537</v>
      </c>
      <c r="Q115" s="4" t="n">
        <v>45973.466099537</v>
      </c>
    </row>
    <row r="116" customFormat="false" ht="15" hidden="false" customHeight="false" outlineLevel="0" collapsed="false">
      <c r="A116" s="1" t="str">
        <f aca="false">Feuil1!H116</f>
        <v>52949</v>
      </c>
      <c r="B116" s="1" t="s">
        <v>17</v>
      </c>
      <c r="C116" s="1" t="s">
        <v>17</v>
      </c>
      <c r="D116" s="1" t="s">
        <v>17</v>
      </c>
      <c r="E116" s="1" t="s">
        <v>17</v>
      </c>
      <c r="F116" s="1" t="s">
        <v>17</v>
      </c>
      <c r="G116" s="1" t="s">
        <v>17</v>
      </c>
      <c r="H116" s="1" t="s">
        <v>17</v>
      </c>
      <c r="I116" s="3" t="str">
        <f aca="false">Feuil1!I116</f>
        <v>Skis Alpin </v>
      </c>
      <c r="J116" s="3" t="str">
        <f aca="false">Feuil1!J116</f>
        <v>Salomon force</v>
      </c>
      <c r="K116" s="3" t="str">
        <f aca="false">Feuil1!K116</f>
        <v>150 cm</v>
      </c>
      <c r="L116" s="3" t="n">
        <f aca="false">Feuil1!L116</f>
        <v>149</v>
      </c>
      <c r="M116" s="1" t="s">
        <v>17</v>
      </c>
      <c r="N116" s="1" t="s">
        <v>18</v>
      </c>
      <c r="O116" s="1" t="s">
        <v>19</v>
      </c>
      <c r="P116" s="4" t="n">
        <v>45973.466099537</v>
      </c>
      <c r="Q116" s="4" t="n">
        <v>45973.466099537</v>
      </c>
    </row>
    <row r="117" customFormat="false" ht="15" hidden="false" customHeight="false" outlineLevel="0" collapsed="false">
      <c r="A117" s="1" t="str">
        <f aca="false">Feuil1!H117</f>
        <v>52950</v>
      </c>
      <c r="B117" s="1" t="s">
        <v>17</v>
      </c>
      <c r="C117" s="1" t="s">
        <v>17</v>
      </c>
      <c r="D117" s="1" t="s">
        <v>17</v>
      </c>
      <c r="E117" s="1" t="s">
        <v>17</v>
      </c>
      <c r="F117" s="1" t="s">
        <v>17</v>
      </c>
      <c r="G117" s="1" t="s">
        <v>17</v>
      </c>
      <c r="H117" s="1" t="s">
        <v>17</v>
      </c>
      <c r="I117" s="3" t="str">
        <f aca="false">Feuil1!I117</f>
        <v>Skis Alpin </v>
      </c>
      <c r="J117" s="3" t="str">
        <f aca="false">Feuil1!J117</f>
        <v>Salomon max</v>
      </c>
      <c r="K117" s="3" t="str">
        <f aca="false">Feuil1!K117</f>
        <v>150 cm</v>
      </c>
      <c r="L117" s="3" t="n">
        <f aca="false">Feuil1!L117</f>
        <v>149</v>
      </c>
      <c r="M117" s="1" t="s">
        <v>17</v>
      </c>
      <c r="N117" s="1" t="s">
        <v>18</v>
      </c>
      <c r="O117" s="1" t="s">
        <v>19</v>
      </c>
      <c r="P117" s="4" t="n">
        <v>45973.466099537</v>
      </c>
      <c r="Q117" s="4" t="n">
        <v>45973.466099537</v>
      </c>
    </row>
    <row r="118" customFormat="false" ht="15" hidden="false" customHeight="false" outlineLevel="0" collapsed="false">
      <c r="A118" s="1" t="str">
        <f aca="false">Feuil1!H118</f>
        <v>52951</v>
      </c>
      <c r="B118" s="1" t="s">
        <v>17</v>
      </c>
      <c r="C118" s="1" t="s">
        <v>17</v>
      </c>
      <c r="D118" s="1" t="s">
        <v>17</v>
      </c>
      <c r="E118" s="1" t="s">
        <v>17</v>
      </c>
      <c r="F118" s="1" t="s">
        <v>17</v>
      </c>
      <c r="G118" s="1" t="s">
        <v>17</v>
      </c>
      <c r="H118" s="1" t="s">
        <v>17</v>
      </c>
      <c r="I118" s="3" t="str">
        <f aca="false">Feuil1!I118</f>
        <v>Skis Alpin </v>
      </c>
      <c r="J118" s="3" t="str">
        <f aca="false">Feuil1!J118</f>
        <v>elan inspire</v>
      </c>
      <c r="K118" s="3" t="str">
        <f aca="false">Feuil1!K118</f>
        <v>152 cm</v>
      </c>
      <c r="L118" s="3" t="n">
        <f aca="false">Feuil1!L118</f>
        <v>125</v>
      </c>
      <c r="M118" s="1" t="s">
        <v>17</v>
      </c>
      <c r="N118" s="1" t="s">
        <v>18</v>
      </c>
      <c r="O118" s="1" t="s">
        <v>19</v>
      </c>
      <c r="P118" s="4" t="n">
        <v>45973.466099537</v>
      </c>
      <c r="Q118" s="4" t="n">
        <v>45973.466099537</v>
      </c>
    </row>
    <row r="119" customFormat="false" ht="15" hidden="false" customHeight="false" outlineLevel="0" collapsed="false">
      <c r="A119" s="1" t="str">
        <f aca="false">Feuil1!H119</f>
        <v>52952</v>
      </c>
      <c r="B119" s="1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17</v>
      </c>
      <c r="H119" s="1" t="s">
        <v>17</v>
      </c>
      <c r="I119" s="3" t="str">
        <f aca="false">Feuil1!I119</f>
        <v>Skis Alpin </v>
      </c>
      <c r="J119" s="3" t="str">
        <f aca="false">Feuil1!J119</f>
        <v>elan snow</v>
      </c>
      <c r="K119" s="3" t="str">
        <f aca="false">Feuil1!K119</f>
        <v>152 cm</v>
      </c>
      <c r="L119" s="3" t="n">
        <f aca="false">Feuil1!L119</f>
        <v>125</v>
      </c>
      <c r="M119" s="1" t="s">
        <v>17</v>
      </c>
      <c r="N119" s="1" t="s">
        <v>18</v>
      </c>
      <c r="O119" s="1" t="s">
        <v>19</v>
      </c>
      <c r="P119" s="4" t="n">
        <v>45973.466099537</v>
      </c>
      <c r="Q119" s="4" t="n">
        <v>45973.466099537</v>
      </c>
    </row>
    <row r="120" customFormat="false" ht="15" hidden="false" customHeight="false" outlineLevel="0" collapsed="false">
      <c r="A120" s="1" t="str">
        <f aca="false">Feuil1!H120</f>
        <v>52953</v>
      </c>
      <c r="B120" s="1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17</v>
      </c>
      <c r="H120" s="1" t="s">
        <v>17</v>
      </c>
      <c r="I120" s="3" t="str">
        <f aca="false">Feuil1!I120</f>
        <v>Skis Alpin </v>
      </c>
      <c r="J120" s="3" t="str">
        <f aca="false">Feuil1!J120</f>
        <v>elan snow</v>
      </c>
      <c r="K120" s="3" t="str">
        <f aca="false">Feuil1!K120</f>
        <v>152 cm</v>
      </c>
      <c r="L120" s="3" t="n">
        <f aca="false">Feuil1!L120</f>
        <v>125</v>
      </c>
      <c r="M120" s="1" t="s">
        <v>17</v>
      </c>
      <c r="N120" s="1" t="s">
        <v>18</v>
      </c>
      <c r="O120" s="1" t="s">
        <v>19</v>
      </c>
      <c r="P120" s="4" t="n">
        <v>45973.466099537</v>
      </c>
      <c r="Q120" s="4" t="n">
        <v>45973.466099537</v>
      </c>
    </row>
    <row r="121" customFormat="false" ht="15" hidden="false" customHeight="false" outlineLevel="0" collapsed="false">
      <c r="A121" s="1" t="str">
        <f aca="false">Feuil1!H121</f>
        <v>52954</v>
      </c>
      <c r="B121" s="1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17</v>
      </c>
      <c r="H121" s="1" t="s">
        <v>17</v>
      </c>
      <c r="I121" s="3" t="str">
        <f aca="false">Feuil1!I121</f>
        <v>Skis Alpin </v>
      </c>
      <c r="J121" s="3" t="str">
        <f aca="false">Feuil1!J121</f>
        <v>elan snow</v>
      </c>
      <c r="K121" s="3" t="str">
        <f aca="false">Feuil1!K121</f>
        <v>146 cm</v>
      </c>
      <c r="L121" s="3" t="n">
        <f aca="false">Feuil1!L121</f>
        <v>125</v>
      </c>
      <c r="M121" s="1" t="s">
        <v>17</v>
      </c>
      <c r="N121" s="1" t="s">
        <v>18</v>
      </c>
      <c r="O121" s="1" t="s">
        <v>19</v>
      </c>
      <c r="P121" s="4" t="n">
        <v>45973.466099537</v>
      </c>
      <c r="Q121" s="4" t="n">
        <v>45973.466099537</v>
      </c>
    </row>
    <row r="122" customFormat="false" ht="15" hidden="false" customHeight="false" outlineLevel="0" collapsed="false">
      <c r="A122" s="1" t="str">
        <f aca="false">Feuil1!H122</f>
        <v>52955</v>
      </c>
      <c r="B122" s="1" t="s">
        <v>17</v>
      </c>
      <c r="C122" s="1" t="s">
        <v>17</v>
      </c>
      <c r="D122" s="1" t="s">
        <v>17</v>
      </c>
      <c r="E122" s="1" t="s">
        <v>17</v>
      </c>
      <c r="F122" s="1" t="s">
        <v>17</v>
      </c>
      <c r="G122" s="1" t="s">
        <v>17</v>
      </c>
      <c r="H122" s="1" t="s">
        <v>17</v>
      </c>
      <c r="I122" s="3" t="str">
        <f aca="false">Feuil1!I122</f>
        <v>Skis Alpin </v>
      </c>
      <c r="J122" s="3" t="str">
        <f aca="false">Feuil1!J122</f>
        <v>Salomon astra</v>
      </c>
      <c r="K122" s="3" t="str">
        <f aca="false">Feuil1!K122</f>
        <v>154 cm</v>
      </c>
      <c r="L122" s="3" t="n">
        <f aca="false">Feuil1!L122</f>
        <v>129</v>
      </c>
      <c r="M122" s="1" t="s">
        <v>17</v>
      </c>
      <c r="N122" s="1" t="s">
        <v>18</v>
      </c>
      <c r="O122" s="1" t="s">
        <v>19</v>
      </c>
      <c r="P122" s="4" t="n">
        <v>45973.466099537</v>
      </c>
      <c r="Q122" s="4" t="n">
        <v>45973.466099537</v>
      </c>
    </row>
    <row r="123" customFormat="false" ht="15" hidden="false" customHeight="false" outlineLevel="0" collapsed="false">
      <c r="A123" s="1" t="str">
        <f aca="false">Feuil1!H123</f>
        <v>52956</v>
      </c>
      <c r="B123" s="1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17</v>
      </c>
      <c r="H123" s="1" t="s">
        <v>17</v>
      </c>
      <c r="I123" s="3" t="str">
        <f aca="false">Feuil1!I123</f>
        <v>Skis Alpin </v>
      </c>
      <c r="J123" s="3" t="str">
        <f aca="false">Feuil1!J123</f>
        <v>Salomon astra</v>
      </c>
      <c r="K123" s="3" t="str">
        <f aca="false">Feuil1!K123</f>
        <v>154 cm</v>
      </c>
      <c r="L123" s="3" t="n">
        <f aca="false">Feuil1!L123</f>
        <v>129</v>
      </c>
      <c r="M123" s="1" t="s">
        <v>17</v>
      </c>
      <c r="N123" s="1" t="s">
        <v>18</v>
      </c>
      <c r="O123" s="1" t="s">
        <v>19</v>
      </c>
      <c r="P123" s="4" t="n">
        <v>45973.466099537</v>
      </c>
      <c r="Q123" s="4" t="n">
        <v>45973.466099537</v>
      </c>
    </row>
    <row r="124" customFormat="false" ht="15" hidden="false" customHeight="false" outlineLevel="0" collapsed="false">
      <c r="A124" s="1" t="str">
        <f aca="false">Feuil1!H124</f>
        <v>52957</v>
      </c>
      <c r="B124" s="1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17</v>
      </c>
      <c r="H124" s="1" t="s">
        <v>17</v>
      </c>
      <c r="I124" s="3" t="str">
        <f aca="false">Feuil1!I124</f>
        <v>Skis Alpin </v>
      </c>
      <c r="J124" s="3" t="str">
        <f aca="false">Feuil1!J124</f>
        <v>head joy</v>
      </c>
      <c r="K124" s="3" t="str">
        <f aca="false">Feuil1!K124</f>
        <v>153 cm</v>
      </c>
      <c r="L124" s="3" t="n">
        <f aca="false">Feuil1!L124</f>
        <v>115</v>
      </c>
      <c r="M124" s="1" t="s">
        <v>17</v>
      </c>
      <c r="N124" s="1" t="s">
        <v>18</v>
      </c>
      <c r="O124" s="1" t="s">
        <v>19</v>
      </c>
      <c r="P124" s="4" t="n">
        <v>45973.466099537</v>
      </c>
      <c r="Q124" s="4" t="n">
        <v>45973.466099537</v>
      </c>
    </row>
    <row r="125" customFormat="false" ht="15" hidden="false" customHeight="false" outlineLevel="0" collapsed="false">
      <c r="A125" s="1" t="str">
        <f aca="false">Feuil1!H125</f>
        <v>52958</v>
      </c>
      <c r="B125" s="1" t="s">
        <v>17</v>
      </c>
      <c r="C125" s="1" t="s">
        <v>17</v>
      </c>
      <c r="D125" s="1" t="s">
        <v>17</v>
      </c>
      <c r="E125" s="1" t="s">
        <v>17</v>
      </c>
      <c r="F125" s="1" t="s">
        <v>17</v>
      </c>
      <c r="G125" s="1" t="s">
        <v>17</v>
      </c>
      <c r="H125" s="1" t="s">
        <v>17</v>
      </c>
      <c r="I125" s="3" t="str">
        <f aca="false">Feuil1!I125</f>
        <v>Skis Alpin </v>
      </c>
      <c r="J125" s="3" t="str">
        <f aca="false">Feuil1!J125</f>
        <v>head joy</v>
      </c>
      <c r="K125" s="3" t="str">
        <f aca="false">Feuil1!K125</f>
        <v>153 cm</v>
      </c>
      <c r="L125" s="3" t="n">
        <f aca="false">Feuil1!L125</f>
        <v>115</v>
      </c>
      <c r="M125" s="1" t="s">
        <v>17</v>
      </c>
      <c r="N125" s="1" t="s">
        <v>18</v>
      </c>
      <c r="O125" s="1" t="s">
        <v>19</v>
      </c>
      <c r="P125" s="4" t="n">
        <v>45973.466099537</v>
      </c>
      <c r="Q125" s="4" t="n">
        <v>45973.466099537</v>
      </c>
    </row>
    <row r="126" customFormat="false" ht="15" hidden="false" customHeight="false" outlineLevel="0" collapsed="false">
      <c r="A126" s="1" t="str">
        <f aca="false">Feuil1!H126</f>
        <v>52959</v>
      </c>
      <c r="B126" s="1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17</v>
      </c>
      <c r="H126" s="1" t="s">
        <v>17</v>
      </c>
      <c r="I126" s="3" t="str">
        <f aca="false">Feuil1!I126</f>
        <v>Skis Alpin </v>
      </c>
      <c r="J126" s="3" t="str">
        <f aca="false">Feuil1!J126</f>
        <v>head joy</v>
      </c>
      <c r="K126" s="3" t="str">
        <f aca="false">Feuil1!K126</f>
        <v>149 cm</v>
      </c>
      <c r="L126" s="3" t="n">
        <f aca="false">Feuil1!L126</f>
        <v>110</v>
      </c>
      <c r="M126" s="1" t="s">
        <v>17</v>
      </c>
      <c r="N126" s="1" t="s">
        <v>18</v>
      </c>
      <c r="O126" s="1" t="s">
        <v>19</v>
      </c>
      <c r="P126" s="4" t="n">
        <v>45973.466099537</v>
      </c>
      <c r="Q126" s="4" t="n">
        <v>45973.466099537</v>
      </c>
    </row>
    <row r="127" customFormat="false" ht="15" hidden="false" customHeight="false" outlineLevel="0" collapsed="false">
      <c r="A127" s="1" t="str">
        <f aca="false">Feuil1!H127</f>
        <v>52960</v>
      </c>
      <c r="B127" s="1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17</v>
      </c>
      <c r="H127" s="1" t="s">
        <v>17</v>
      </c>
      <c r="I127" s="3" t="str">
        <f aca="false">Feuil1!I127</f>
        <v>Skis Alpin </v>
      </c>
      <c r="J127" s="3" t="str">
        <f aca="false">Feuil1!J127</f>
        <v>head joy</v>
      </c>
      <c r="K127" s="3" t="str">
        <f aca="false">Feuil1!K127</f>
        <v>143 cm</v>
      </c>
      <c r="L127" s="3" t="n">
        <f aca="false">Feuil1!L127</f>
        <v>110</v>
      </c>
      <c r="M127" s="1" t="s">
        <v>17</v>
      </c>
      <c r="N127" s="1" t="s">
        <v>18</v>
      </c>
      <c r="O127" s="1" t="s">
        <v>19</v>
      </c>
      <c r="P127" s="4" t="n">
        <v>45973.466099537</v>
      </c>
      <c r="Q127" s="4" t="n">
        <v>45973.466099537</v>
      </c>
    </row>
    <row r="128" customFormat="false" ht="15" hidden="false" customHeight="false" outlineLevel="0" collapsed="false">
      <c r="A128" s="1" t="str">
        <f aca="false">Feuil1!H128</f>
        <v>52961</v>
      </c>
      <c r="B128" s="1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17</v>
      </c>
      <c r="H128" s="1" t="s">
        <v>17</v>
      </c>
      <c r="I128" s="3" t="str">
        <f aca="false">Feuil1!I128</f>
        <v>Skis Alpin </v>
      </c>
      <c r="J128" s="3" t="str">
        <f aca="false">Feuil1!J128</f>
        <v>elan inspire</v>
      </c>
      <c r="K128" s="3" t="str">
        <f aca="false">Feuil1!K128</f>
        <v>158 cm</v>
      </c>
      <c r="L128" s="3" t="n">
        <f aca="false">Feuil1!L128</f>
        <v>125</v>
      </c>
      <c r="M128" s="1" t="s">
        <v>17</v>
      </c>
      <c r="N128" s="1" t="s">
        <v>18</v>
      </c>
      <c r="O128" s="1" t="s">
        <v>19</v>
      </c>
      <c r="P128" s="4" t="n">
        <v>45973.466099537</v>
      </c>
      <c r="Q128" s="4" t="n">
        <v>45973.466099537</v>
      </c>
    </row>
    <row r="129" customFormat="false" ht="15" hidden="false" customHeight="false" outlineLevel="0" collapsed="false">
      <c r="A129" s="1" t="str">
        <f aca="false">Feuil1!H129</f>
        <v>52962</v>
      </c>
      <c r="B129" s="1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17</v>
      </c>
      <c r="H129" s="1" t="s">
        <v>17</v>
      </c>
      <c r="I129" s="3" t="str">
        <f aca="false">Feuil1!I129</f>
        <v>Skis Alpin </v>
      </c>
      <c r="J129" s="3" t="str">
        <f aca="false">Feuil1!J129</f>
        <v>elan inspire</v>
      </c>
      <c r="K129" s="3" t="str">
        <f aca="false">Feuil1!K129</f>
        <v>158 cm</v>
      </c>
      <c r="L129" s="3" t="n">
        <f aca="false">Feuil1!L129</f>
        <v>125</v>
      </c>
      <c r="M129" s="1" t="s">
        <v>17</v>
      </c>
      <c r="N129" s="1" t="s">
        <v>18</v>
      </c>
      <c r="O129" s="1" t="s">
        <v>19</v>
      </c>
      <c r="P129" s="4" t="n">
        <v>45973.466099537</v>
      </c>
      <c r="Q129" s="4" t="n">
        <v>45973.466099537</v>
      </c>
    </row>
    <row r="130" customFormat="false" ht="15" hidden="false" customHeight="false" outlineLevel="0" collapsed="false">
      <c r="A130" s="1" t="str">
        <f aca="false">Feuil1!H130</f>
        <v>52963</v>
      </c>
      <c r="B130" s="1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17</v>
      </c>
      <c r="H130" s="1" t="s">
        <v>17</v>
      </c>
      <c r="I130" s="3" t="str">
        <f aca="false">Feuil1!I130</f>
        <v>Skis Alpin </v>
      </c>
      <c r="J130" s="3" t="str">
        <f aca="false">Feuil1!J130</f>
        <v>volkl deacon</v>
      </c>
      <c r="K130" s="3" t="str">
        <f aca="false">Feuil1!K130</f>
        <v>158 cm</v>
      </c>
      <c r="L130" s="3" t="n">
        <f aca="false">Feuil1!L130</f>
        <v>135</v>
      </c>
      <c r="M130" s="1" t="s">
        <v>17</v>
      </c>
      <c r="N130" s="1" t="s">
        <v>18</v>
      </c>
      <c r="O130" s="1" t="s">
        <v>19</v>
      </c>
      <c r="P130" s="4" t="n">
        <v>45973.466099537</v>
      </c>
      <c r="Q130" s="4" t="n">
        <v>45973.466099537</v>
      </c>
    </row>
    <row r="131" customFormat="false" ht="15" hidden="false" customHeight="false" outlineLevel="0" collapsed="false">
      <c r="A131" s="1" t="str">
        <f aca="false">Feuil1!H131</f>
        <v>52964</v>
      </c>
      <c r="B131" s="1" t="s">
        <v>17</v>
      </c>
      <c r="C131" s="1" t="s">
        <v>17</v>
      </c>
      <c r="D131" s="1" t="s">
        <v>17</v>
      </c>
      <c r="E131" s="1" t="s">
        <v>17</v>
      </c>
      <c r="F131" s="1" t="s">
        <v>17</v>
      </c>
      <c r="G131" s="1" t="s">
        <v>17</v>
      </c>
      <c r="H131" s="1" t="s">
        <v>17</v>
      </c>
      <c r="I131" s="3" t="str">
        <f aca="false">Feuil1!I131</f>
        <v>Skis Alpin </v>
      </c>
      <c r="J131" s="3" t="str">
        <f aca="false">Feuil1!J131</f>
        <v>volkl deacon</v>
      </c>
      <c r="K131" s="3" t="str">
        <f aca="false">Feuil1!K131</f>
        <v>158 cm</v>
      </c>
      <c r="L131" s="3" t="n">
        <f aca="false">Feuil1!L131</f>
        <v>135</v>
      </c>
      <c r="M131" s="1" t="s">
        <v>17</v>
      </c>
      <c r="N131" s="1" t="s">
        <v>18</v>
      </c>
      <c r="O131" s="1" t="s">
        <v>19</v>
      </c>
      <c r="P131" s="4" t="n">
        <v>45973.466099537</v>
      </c>
      <c r="Q131" s="4" t="n">
        <v>45973.466099537</v>
      </c>
    </row>
    <row r="132" customFormat="false" ht="15" hidden="false" customHeight="false" outlineLevel="0" collapsed="false">
      <c r="A132" s="1" t="str">
        <f aca="false">Feuil1!H132</f>
        <v>52965</v>
      </c>
      <c r="B132" s="1" t="s">
        <v>17</v>
      </c>
      <c r="C132" s="1" t="s">
        <v>17</v>
      </c>
      <c r="D132" s="1" t="s">
        <v>17</v>
      </c>
      <c r="E132" s="1" t="s">
        <v>17</v>
      </c>
      <c r="F132" s="1" t="s">
        <v>17</v>
      </c>
      <c r="G132" s="1" t="s">
        <v>17</v>
      </c>
      <c r="H132" s="1" t="s">
        <v>17</v>
      </c>
      <c r="I132" s="3" t="str">
        <f aca="false">Feuil1!I132</f>
        <v>Skis Alpin </v>
      </c>
      <c r="J132" s="3" t="str">
        <f aca="false">Feuil1!J132</f>
        <v>volkl rtm</v>
      </c>
      <c r="K132" s="3" t="str">
        <f aca="false">Feuil1!K132</f>
        <v>170 cm</v>
      </c>
      <c r="L132" s="3" t="n">
        <f aca="false">Feuil1!L132</f>
        <v>135</v>
      </c>
      <c r="M132" s="1" t="s">
        <v>17</v>
      </c>
      <c r="N132" s="1" t="s">
        <v>18</v>
      </c>
      <c r="O132" s="1" t="s">
        <v>19</v>
      </c>
      <c r="P132" s="4" t="n">
        <v>45973.466099537</v>
      </c>
      <c r="Q132" s="4" t="n">
        <v>45973.466099537</v>
      </c>
    </row>
    <row r="133" customFormat="false" ht="15" hidden="false" customHeight="false" outlineLevel="0" collapsed="false">
      <c r="A133" s="1" t="str">
        <f aca="false">Feuil1!H133</f>
        <v>52966</v>
      </c>
      <c r="B133" s="1" t="s">
        <v>17</v>
      </c>
      <c r="C133" s="1" t="s">
        <v>17</v>
      </c>
      <c r="D133" s="1" t="s">
        <v>17</v>
      </c>
      <c r="E133" s="1" t="s">
        <v>17</v>
      </c>
      <c r="F133" s="1" t="s">
        <v>17</v>
      </c>
      <c r="G133" s="1" t="s">
        <v>17</v>
      </c>
      <c r="H133" s="1" t="s">
        <v>17</v>
      </c>
      <c r="I133" s="3" t="str">
        <f aca="false">Feuil1!I133</f>
        <v>Skis Alpin </v>
      </c>
      <c r="J133" s="3" t="str">
        <f aca="false">Feuil1!J133</f>
        <v>volkl rtm</v>
      </c>
      <c r="K133" s="3" t="str">
        <f aca="false">Feuil1!K133</f>
        <v>156 cm</v>
      </c>
      <c r="L133" s="3" t="n">
        <f aca="false">Feuil1!L133</f>
        <v>135</v>
      </c>
      <c r="M133" s="1" t="s">
        <v>17</v>
      </c>
      <c r="N133" s="1" t="s">
        <v>18</v>
      </c>
      <c r="O133" s="1" t="s">
        <v>19</v>
      </c>
      <c r="P133" s="4" t="n">
        <v>45973.466099537</v>
      </c>
      <c r="Q133" s="4" t="n">
        <v>45973.466099537</v>
      </c>
    </row>
    <row r="134" customFormat="false" ht="15" hidden="false" customHeight="false" outlineLevel="0" collapsed="false">
      <c r="A134" s="1" t="str">
        <f aca="false">Feuil1!H134</f>
        <v>52967</v>
      </c>
      <c r="B134" s="1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17</v>
      </c>
      <c r="H134" s="1" t="s">
        <v>17</v>
      </c>
      <c r="I134" s="3" t="str">
        <f aca="false">Feuil1!I134</f>
        <v>Skis Alpin </v>
      </c>
      <c r="J134" s="3" t="str">
        <f aca="false">Feuil1!J134</f>
        <v>Rossignol exp 84</v>
      </c>
      <c r="K134" s="3" t="str">
        <f aca="false">Feuil1!K134</f>
        <v>160 cm</v>
      </c>
      <c r="L134" s="3" t="n">
        <f aca="false">Feuil1!L134</f>
        <v>149</v>
      </c>
      <c r="M134" s="1" t="s">
        <v>17</v>
      </c>
      <c r="N134" s="1" t="s">
        <v>18</v>
      </c>
      <c r="O134" s="1" t="s">
        <v>19</v>
      </c>
      <c r="P134" s="4" t="n">
        <v>45973.466099537</v>
      </c>
      <c r="Q134" s="4" t="n">
        <v>45973.466099537</v>
      </c>
    </row>
    <row r="135" customFormat="false" ht="15" hidden="false" customHeight="false" outlineLevel="0" collapsed="false">
      <c r="A135" s="1" t="str">
        <f aca="false">Feuil1!H135</f>
        <v>52968</v>
      </c>
      <c r="B135" s="1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17</v>
      </c>
      <c r="H135" s="1" t="s">
        <v>17</v>
      </c>
      <c r="I135" s="3" t="str">
        <f aca="false">Feuil1!I135</f>
        <v>Skis Alpin </v>
      </c>
      <c r="J135" s="3" t="str">
        <f aca="false">Feuil1!J135</f>
        <v>Rossignol exp 84</v>
      </c>
      <c r="K135" s="3" t="str">
        <f aca="false">Feuil1!K135</f>
        <v>160 cm</v>
      </c>
      <c r="L135" s="3" t="n">
        <f aca="false">Feuil1!L135</f>
        <v>149</v>
      </c>
      <c r="M135" s="1" t="s">
        <v>17</v>
      </c>
      <c r="N135" s="1" t="s">
        <v>18</v>
      </c>
      <c r="O135" s="1" t="s">
        <v>19</v>
      </c>
      <c r="P135" s="4" t="n">
        <v>45973.466099537</v>
      </c>
      <c r="Q135" s="4" t="n">
        <v>45973.466099537</v>
      </c>
    </row>
    <row r="136" customFormat="false" ht="15" hidden="false" customHeight="false" outlineLevel="0" collapsed="false">
      <c r="A136" s="1" t="str">
        <f aca="false">Feuil1!H136</f>
        <v>52969</v>
      </c>
      <c r="B136" s="1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17</v>
      </c>
      <c r="H136" s="1" t="s">
        <v>17</v>
      </c>
      <c r="I136" s="3" t="str">
        <f aca="false">Feuil1!I136</f>
        <v>Skis Alpin </v>
      </c>
      <c r="J136" s="3" t="str">
        <f aca="false">Feuil1!J136</f>
        <v>Rossignol exp 80</v>
      </c>
      <c r="K136" s="3" t="str">
        <f aca="false">Feuil1!K136</f>
        <v>166 cm</v>
      </c>
      <c r="L136" s="3" t="n">
        <f aca="false">Feuil1!L136</f>
        <v>169</v>
      </c>
      <c r="M136" s="1" t="s">
        <v>17</v>
      </c>
      <c r="N136" s="1" t="s">
        <v>18</v>
      </c>
      <c r="O136" s="1" t="s">
        <v>19</v>
      </c>
      <c r="P136" s="4" t="n">
        <v>45973.466099537</v>
      </c>
      <c r="Q136" s="4" t="n">
        <v>45973.466099537</v>
      </c>
    </row>
    <row r="137" customFormat="false" ht="15" hidden="false" customHeight="false" outlineLevel="0" collapsed="false">
      <c r="A137" s="1" t="str">
        <f aca="false">Feuil1!H137</f>
        <v>52970</v>
      </c>
      <c r="B137" s="1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17</v>
      </c>
      <c r="H137" s="1" t="s">
        <v>17</v>
      </c>
      <c r="I137" s="3" t="str">
        <f aca="false">Feuil1!I137</f>
        <v>Skis Alpin </v>
      </c>
      <c r="J137" s="3" t="str">
        <f aca="false">Feuil1!J137</f>
        <v>Rossignol react</v>
      </c>
      <c r="K137" s="3" t="str">
        <f aca="false">Feuil1!K137</f>
        <v>170 cm</v>
      </c>
      <c r="L137" s="3" t="n">
        <f aca="false">Feuil1!L137</f>
        <v>145</v>
      </c>
      <c r="M137" s="1" t="s">
        <v>17</v>
      </c>
      <c r="N137" s="1" t="s">
        <v>18</v>
      </c>
      <c r="O137" s="1" t="s">
        <v>19</v>
      </c>
      <c r="P137" s="4" t="n">
        <v>45973.466099537</v>
      </c>
      <c r="Q137" s="4" t="n">
        <v>45973.466099537</v>
      </c>
    </row>
    <row r="138" customFormat="false" ht="15" hidden="false" customHeight="false" outlineLevel="0" collapsed="false">
      <c r="A138" s="1" t="str">
        <f aca="false">Feuil1!H138</f>
        <v>52971</v>
      </c>
      <c r="B138" s="1" t="s">
        <v>17</v>
      </c>
      <c r="C138" s="1" t="s">
        <v>17</v>
      </c>
      <c r="D138" s="1" t="s">
        <v>17</v>
      </c>
      <c r="E138" s="1" t="s">
        <v>17</v>
      </c>
      <c r="F138" s="1" t="s">
        <v>17</v>
      </c>
      <c r="G138" s="1" t="s">
        <v>17</v>
      </c>
      <c r="H138" s="1" t="s">
        <v>17</v>
      </c>
      <c r="I138" s="3" t="str">
        <f aca="false">Feuil1!I138</f>
        <v>Skis Alpin </v>
      </c>
      <c r="J138" s="3" t="str">
        <f aca="false">Feuil1!J138</f>
        <v>dynastar m free</v>
      </c>
      <c r="K138" s="3" t="str">
        <f aca="false">Feuil1!K138</f>
        <v>162 cm</v>
      </c>
      <c r="L138" s="3" t="n">
        <f aca="false">Feuil1!L138</f>
        <v>169</v>
      </c>
      <c r="M138" s="1" t="s">
        <v>17</v>
      </c>
      <c r="N138" s="1" t="s">
        <v>18</v>
      </c>
      <c r="O138" s="1" t="s">
        <v>19</v>
      </c>
      <c r="P138" s="4" t="n">
        <v>45973.466099537</v>
      </c>
      <c r="Q138" s="4" t="n">
        <v>45973.466099537</v>
      </c>
    </row>
    <row r="139" customFormat="false" ht="15" hidden="false" customHeight="false" outlineLevel="0" collapsed="false">
      <c r="A139" s="1" t="str">
        <f aca="false">Feuil1!H139</f>
        <v>52972</v>
      </c>
      <c r="B139" s="1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17</v>
      </c>
      <c r="H139" s="1" t="s">
        <v>17</v>
      </c>
      <c r="I139" s="3" t="str">
        <f aca="false">Feuil1!I139</f>
        <v>Skis Alpin </v>
      </c>
      <c r="J139" s="3" t="str">
        <f aca="false">Feuil1!J139</f>
        <v>dynastar intense</v>
      </c>
      <c r="K139" s="3" t="str">
        <f aca="false">Feuil1!K139</f>
        <v>158 cm</v>
      </c>
      <c r="L139" s="3" t="n">
        <f aca="false">Feuil1!L139</f>
        <v>135</v>
      </c>
      <c r="M139" s="1" t="s">
        <v>17</v>
      </c>
      <c r="N139" s="1" t="s">
        <v>18</v>
      </c>
      <c r="O139" s="1" t="s">
        <v>19</v>
      </c>
      <c r="P139" s="4" t="n">
        <v>45973.466099537</v>
      </c>
      <c r="Q139" s="4" t="n">
        <v>45973.466099537</v>
      </c>
    </row>
    <row r="140" customFormat="false" ht="15" hidden="false" customHeight="false" outlineLevel="0" collapsed="false">
      <c r="A140" s="1" t="str">
        <f aca="false">Feuil1!H140</f>
        <v>52973</v>
      </c>
      <c r="B140" s="1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17</v>
      </c>
      <c r="H140" s="1" t="s">
        <v>17</v>
      </c>
      <c r="I140" s="3" t="str">
        <f aca="false">Feuil1!I140</f>
        <v>Skis Alpin </v>
      </c>
      <c r="J140" s="3" t="str">
        <f aca="false">Feuil1!J140</f>
        <v>dynastar intense</v>
      </c>
      <c r="K140" s="3" t="str">
        <f aca="false">Feuil1!K140</f>
        <v>158 cm</v>
      </c>
      <c r="L140" s="3" t="n">
        <f aca="false">Feuil1!L140</f>
        <v>135</v>
      </c>
      <c r="M140" s="1" t="s">
        <v>17</v>
      </c>
      <c r="N140" s="1" t="s">
        <v>18</v>
      </c>
      <c r="O140" s="1" t="s">
        <v>19</v>
      </c>
      <c r="P140" s="4" t="n">
        <v>45973.466099537</v>
      </c>
      <c r="Q140" s="4" t="n">
        <v>45973.466099537</v>
      </c>
    </row>
    <row r="141" customFormat="false" ht="15" hidden="false" customHeight="false" outlineLevel="0" collapsed="false">
      <c r="A141" s="1" t="str">
        <f aca="false">Feuil1!H141</f>
        <v>52974</v>
      </c>
      <c r="B141" s="1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17</v>
      </c>
      <c r="H141" s="1" t="s">
        <v>17</v>
      </c>
      <c r="I141" s="3" t="str">
        <f aca="false">Feuil1!I141</f>
        <v>Skis Alpin </v>
      </c>
      <c r="J141" s="3" t="str">
        <f aca="false">Feuil1!J141</f>
        <v>dynastar intense</v>
      </c>
      <c r="K141" s="3" t="str">
        <f aca="false">Feuil1!K141</f>
        <v>158 cm</v>
      </c>
      <c r="L141" s="3" t="n">
        <f aca="false">Feuil1!L141</f>
        <v>85</v>
      </c>
      <c r="M141" s="1" t="s">
        <v>17</v>
      </c>
      <c r="N141" s="1" t="s">
        <v>18</v>
      </c>
      <c r="O141" s="1" t="s">
        <v>19</v>
      </c>
      <c r="P141" s="4" t="n">
        <v>45973.466099537</v>
      </c>
      <c r="Q141" s="4" t="n">
        <v>45973.466099537</v>
      </c>
    </row>
    <row r="142" customFormat="false" ht="15" hidden="false" customHeight="false" outlineLevel="0" collapsed="false">
      <c r="A142" s="1" t="str">
        <f aca="false">Feuil1!H142</f>
        <v>52975</v>
      </c>
      <c r="B142" s="1" t="s">
        <v>17</v>
      </c>
      <c r="C142" s="1" t="s">
        <v>17</v>
      </c>
      <c r="D142" s="1" t="s">
        <v>17</v>
      </c>
      <c r="E142" s="1" t="s">
        <v>17</v>
      </c>
      <c r="F142" s="1" t="s">
        <v>17</v>
      </c>
      <c r="G142" s="1" t="s">
        <v>17</v>
      </c>
      <c r="H142" s="1" t="s">
        <v>17</v>
      </c>
      <c r="I142" s="3" t="str">
        <f aca="false">Feuil1!I142</f>
        <v>Skis Alpin </v>
      </c>
      <c r="J142" s="3" t="str">
        <f aca="false">Feuil1!J142</f>
        <v>dynastar speed sh</v>
      </c>
      <c r="K142" s="3" t="str">
        <f aca="false">Feuil1!K142</f>
        <v>162 cm</v>
      </c>
      <c r="L142" s="3" t="n">
        <f aca="false">Feuil1!L142</f>
        <v>145</v>
      </c>
      <c r="M142" s="1" t="s">
        <v>17</v>
      </c>
      <c r="N142" s="1" t="s">
        <v>18</v>
      </c>
      <c r="O142" s="1" t="s">
        <v>19</v>
      </c>
      <c r="P142" s="4" t="n">
        <v>45973.466099537</v>
      </c>
      <c r="Q142" s="4" t="n">
        <v>45973.466099537</v>
      </c>
    </row>
    <row r="143" customFormat="false" ht="15" hidden="false" customHeight="false" outlineLevel="0" collapsed="false">
      <c r="A143" s="1" t="str">
        <f aca="false">Feuil1!H143</f>
        <v>52976</v>
      </c>
      <c r="B143" s="1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17</v>
      </c>
      <c r="H143" s="1" t="s">
        <v>17</v>
      </c>
      <c r="I143" s="3" t="str">
        <f aca="false">Feuil1!I143</f>
        <v>Skis Alpin </v>
      </c>
      <c r="J143" s="3" t="str">
        <f aca="false">Feuil1!J143</f>
        <v>blizzard BP</v>
      </c>
      <c r="K143" s="3" t="str">
        <f aca="false">Feuil1!K143</f>
        <v>159 cm</v>
      </c>
      <c r="L143" s="3" t="n">
        <f aca="false">Feuil1!L143</f>
        <v>169</v>
      </c>
      <c r="M143" s="1" t="s">
        <v>17</v>
      </c>
      <c r="N143" s="1" t="s">
        <v>18</v>
      </c>
      <c r="O143" s="1" t="s">
        <v>19</v>
      </c>
      <c r="P143" s="4" t="n">
        <v>45973.466099537</v>
      </c>
      <c r="Q143" s="4" t="n">
        <v>45973.466099537</v>
      </c>
    </row>
    <row r="144" customFormat="false" ht="15" hidden="false" customHeight="false" outlineLevel="0" collapsed="false">
      <c r="A144" s="1" t="str">
        <f aca="false">Feuil1!H144</f>
        <v>52977</v>
      </c>
      <c r="B144" s="1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 t="s">
        <v>17</v>
      </c>
      <c r="H144" s="1" t="s">
        <v>17</v>
      </c>
      <c r="I144" s="3" t="str">
        <f aca="false">Feuil1!I144</f>
        <v>Skis Alpin </v>
      </c>
      <c r="J144" s="3" t="str">
        <f aca="false">Feuil1!J144</f>
        <v>volkl flair</v>
      </c>
      <c r="K144" s="3" t="str">
        <f aca="false">Feuil1!K144</f>
        <v>158 cm</v>
      </c>
      <c r="L144" s="3" t="n">
        <f aca="false">Feuil1!L144</f>
        <v>135</v>
      </c>
      <c r="M144" s="1" t="s">
        <v>17</v>
      </c>
      <c r="N144" s="1" t="s">
        <v>18</v>
      </c>
      <c r="O144" s="1" t="s">
        <v>19</v>
      </c>
      <c r="P144" s="4" t="n">
        <v>45973.466099537</v>
      </c>
      <c r="Q144" s="4" t="n">
        <v>45973.466099537</v>
      </c>
    </row>
    <row r="145" customFormat="false" ht="15" hidden="false" customHeight="false" outlineLevel="0" collapsed="false">
      <c r="A145" s="1" t="str">
        <f aca="false">Feuil1!H145</f>
        <v>52978</v>
      </c>
      <c r="B145" s="1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 t="s">
        <v>17</v>
      </c>
      <c r="H145" s="1" t="s">
        <v>17</v>
      </c>
      <c r="I145" s="3" t="str">
        <f aca="false">Feuil1!I145</f>
        <v>Skis Alpin </v>
      </c>
      <c r="J145" s="3" t="str">
        <f aca="false">Feuil1!J145</f>
        <v>volkl raceT</v>
      </c>
      <c r="K145" s="3" t="str">
        <f aca="false">Feuil1!K145</f>
        <v>150 cm</v>
      </c>
      <c r="L145" s="3" t="n">
        <f aca="false">Feuil1!L145</f>
        <v>59</v>
      </c>
      <c r="M145" s="1" t="s">
        <v>17</v>
      </c>
      <c r="N145" s="1" t="s">
        <v>18</v>
      </c>
      <c r="O145" s="1" t="s">
        <v>19</v>
      </c>
      <c r="P145" s="4" t="n">
        <v>45973.466099537</v>
      </c>
      <c r="Q145" s="4" t="n">
        <v>45973.466099537</v>
      </c>
    </row>
    <row r="146" customFormat="false" ht="15" hidden="false" customHeight="false" outlineLevel="0" collapsed="false">
      <c r="A146" s="1" t="str">
        <f aca="false">Feuil1!H146</f>
        <v>52979</v>
      </c>
      <c r="B146" s="1" t="s">
        <v>17</v>
      </c>
      <c r="C146" s="1" t="s">
        <v>17</v>
      </c>
      <c r="D146" s="1" t="s">
        <v>17</v>
      </c>
      <c r="E146" s="1" t="s">
        <v>17</v>
      </c>
      <c r="F146" s="1" t="s">
        <v>17</v>
      </c>
      <c r="G146" s="1" t="s">
        <v>17</v>
      </c>
      <c r="H146" s="1" t="s">
        <v>17</v>
      </c>
      <c r="I146" s="3" t="str">
        <f aca="false">Feuil1!I146</f>
        <v>Skis Alpin </v>
      </c>
      <c r="J146" s="3" t="str">
        <f aca="false">Feuil1!J146</f>
        <v>volkl raceT</v>
      </c>
      <c r="K146" s="3" t="str">
        <f aca="false">Feuil1!K146</f>
        <v>150 cm</v>
      </c>
      <c r="L146" s="3" t="n">
        <f aca="false">Feuil1!L146</f>
        <v>59</v>
      </c>
      <c r="M146" s="1" t="s">
        <v>17</v>
      </c>
      <c r="N146" s="1" t="s">
        <v>18</v>
      </c>
      <c r="O146" s="1" t="s">
        <v>19</v>
      </c>
      <c r="P146" s="4" t="n">
        <v>45973.466099537</v>
      </c>
      <c r="Q146" s="4" t="n">
        <v>45973.466099537</v>
      </c>
    </row>
    <row r="147" customFormat="false" ht="15" hidden="false" customHeight="false" outlineLevel="0" collapsed="false">
      <c r="A147" s="1" t="str">
        <f aca="false">Feuil1!H147</f>
        <v>52980</v>
      </c>
      <c r="B147" s="1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17</v>
      </c>
      <c r="H147" s="1" t="s">
        <v>17</v>
      </c>
      <c r="I147" s="3" t="str">
        <f aca="false">Feuil1!I147</f>
        <v>Skis Alpin </v>
      </c>
      <c r="J147" s="3" t="str">
        <f aca="false">Feuil1!J147</f>
        <v>volkl raceT</v>
      </c>
      <c r="K147" s="3" t="str">
        <f aca="false">Feuil1!K147</f>
        <v>150 cm</v>
      </c>
      <c r="L147" s="3" t="n">
        <f aca="false">Feuil1!L147</f>
        <v>59</v>
      </c>
      <c r="M147" s="1" t="s">
        <v>17</v>
      </c>
      <c r="N147" s="1" t="s">
        <v>18</v>
      </c>
      <c r="O147" s="1" t="s">
        <v>19</v>
      </c>
      <c r="P147" s="4" t="n">
        <v>45973.466099537</v>
      </c>
      <c r="Q147" s="4" t="n">
        <v>45973.466099537</v>
      </c>
    </row>
    <row r="148" customFormat="false" ht="15" hidden="false" customHeight="false" outlineLevel="0" collapsed="false">
      <c r="A148" s="1" t="str">
        <f aca="false">Feuil1!H148</f>
        <v>52981</v>
      </c>
      <c r="B148" s="1" t="s">
        <v>17</v>
      </c>
      <c r="C148" s="1" t="s">
        <v>17</v>
      </c>
      <c r="D148" s="1" t="s">
        <v>17</v>
      </c>
      <c r="E148" s="1" t="s">
        <v>17</v>
      </c>
      <c r="F148" s="1" t="s">
        <v>17</v>
      </c>
      <c r="G148" s="1" t="s">
        <v>17</v>
      </c>
      <c r="H148" s="1" t="s">
        <v>17</v>
      </c>
      <c r="I148" s="3" t="str">
        <f aca="false">Feuil1!I148</f>
        <v>Skis Alpin </v>
      </c>
      <c r="J148" s="3" t="str">
        <f aca="false">Feuil1!J148</f>
        <v>volkl raceT</v>
      </c>
      <c r="K148" s="3" t="str">
        <f aca="false">Feuil1!K148</f>
        <v>140 cm</v>
      </c>
      <c r="L148" s="3" t="n">
        <f aca="false">Feuil1!L148</f>
        <v>59</v>
      </c>
      <c r="M148" s="1" t="s">
        <v>17</v>
      </c>
      <c r="N148" s="1" t="s">
        <v>18</v>
      </c>
      <c r="O148" s="1" t="s">
        <v>19</v>
      </c>
      <c r="P148" s="4" t="n">
        <v>45973.466099537</v>
      </c>
      <c r="Q148" s="4" t="n">
        <v>45973.466099537</v>
      </c>
    </row>
    <row r="149" customFormat="false" ht="15" hidden="false" customHeight="false" outlineLevel="0" collapsed="false">
      <c r="A149" s="1" t="str">
        <f aca="false">Feuil1!H149</f>
        <v>52982</v>
      </c>
      <c r="B149" s="1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17</v>
      </c>
      <c r="H149" s="1" t="s">
        <v>17</v>
      </c>
      <c r="I149" s="3" t="str">
        <f aca="false">Feuil1!I149</f>
        <v>Skis Alpin </v>
      </c>
      <c r="J149" s="3" t="str">
        <f aca="false">Feuil1!J149</f>
        <v>volkl raceT</v>
      </c>
      <c r="K149" s="3" t="str">
        <f aca="false">Feuil1!K149</f>
        <v>140 cm</v>
      </c>
      <c r="L149" s="3" t="n">
        <f aca="false">Feuil1!L149</f>
        <v>59</v>
      </c>
      <c r="M149" s="1" t="s">
        <v>17</v>
      </c>
      <c r="N149" s="1" t="s">
        <v>18</v>
      </c>
      <c r="O149" s="1" t="s">
        <v>19</v>
      </c>
      <c r="P149" s="4" t="n">
        <v>45973.466099537</v>
      </c>
      <c r="Q149" s="4" t="n">
        <v>45973.466099537</v>
      </c>
    </row>
    <row r="150" customFormat="false" ht="15" hidden="false" customHeight="false" outlineLevel="0" collapsed="false">
      <c r="A150" s="1" t="str">
        <f aca="false">Feuil1!H150</f>
        <v>52983</v>
      </c>
      <c r="B150" s="1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17</v>
      </c>
      <c r="H150" s="1" t="s">
        <v>17</v>
      </c>
      <c r="I150" s="3" t="str">
        <f aca="false">Feuil1!I150</f>
        <v>Skis Alpin </v>
      </c>
      <c r="J150" s="3" t="str">
        <f aca="false">Feuil1!J150</f>
        <v>volkl raceT</v>
      </c>
      <c r="K150" s="3" t="str">
        <f aca="false">Feuil1!K150</f>
        <v>160 cm</v>
      </c>
      <c r="L150" s="3" t="n">
        <f aca="false">Feuil1!L150</f>
        <v>69</v>
      </c>
      <c r="M150" s="1" t="s">
        <v>17</v>
      </c>
      <c r="N150" s="1" t="s">
        <v>18</v>
      </c>
      <c r="O150" s="1" t="s">
        <v>19</v>
      </c>
      <c r="P150" s="4" t="n">
        <v>45973.466099537</v>
      </c>
      <c r="Q150" s="4" t="n">
        <v>45973.466099537</v>
      </c>
    </row>
    <row r="151" customFormat="false" ht="15" hidden="false" customHeight="false" outlineLevel="0" collapsed="false">
      <c r="A151" s="1" t="str">
        <f aca="false">Feuil1!H151</f>
        <v>52984</v>
      </c>
      <c r="B151" s="1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17</v>
      </c>
      <c r="H151" s="1" t="s">
        <v>17</v>
      </c>
      <c r="I151" s="3" t="str">
        <f aca="false">Feuil1!I151</f>
        <v>Skis Alpin </v>
      </c>
      <c r="J151" s="3" t="str">
        <f aca="false">Feuil1!J151</f>
        <v>Rossignol hero</v>
      </c>
      <c r="K151" s="3" t="str">
        <f aca="false">Feuil1!K151</f>
        <v>158 cm</v>
      </c>
      <c r="L151" s="3" t="n">
        <f aca="false">Feuil1!L151</f>
        <v>69</v>
      </c>
      <c r="M151" s="1" t="s">
        <v>17</v>
      </c>
      <c r="N151" s="1" t="s">
        <v>18</v>
      </c>
      <c r="O151" s="1" t="s">
        <v>19</v>
      </c>
      <c r="P151" s="4" t="n">
        <v>45973.466099537</v>
      </c>
      <c r="Q151" s="4" t="n">
        <v>45973.466099537</v>
      </c>
    </row>
    <row r="152" customFormat="false" ht="15" hidden="false" customHeight="false" outlineLevel="0" collapsed="false">
      <c r="A152" s="1" t="str">
        <f aca="false">Feuil1!H152</f>
        <v>52985</v>
      </c>
      <c r="B152" s="1" t="s">
        <v>17</v>
      </c>
      <c r="C152" s="1" t="s">
        <v>17</v>
      </c>
      <c r="D152" s="1" t="s">
        <v>17</v>
      </c>
      <c r="E152" s="1" t="s">
        <v>17</v>
      </c>
      <c r="F152" s="1" t="s">
        <v>17</v>
      </c>
      <c r="G152" s="1" t="s">
        <v>17</v>
      </c>
      <c r="H152" s="1" t="s">
        <v>17</v>
      </c>
      <c r="I152" s="3" t="str">
        <f aca="false">Feuil1!I152</f>
        <v>Skis Alpin </v>
      </c>
      <c r="J152" s="3" t="str">
        <f aca="false">Feuil1!J152</f>
        <v>Rossignol hero</v>
      </c>
      <c r="K152" s="3" t="str">
        <f aca="false">Feuil1!K152</f>
        <v>160 cm</v>
      </c>
      <c r="L152" s="3" t="n">
        <f aca="false">Feuil1!L152</f>
        <v>69</v>
      </c>
      <c r="M152" s="1" t="s">
        <v>17</v>
      </c>
      <c r="N152" s="1" t="s">
        <v>18</v>
      </c>
      <c r="O152" s="1" t="s">
        <v>19</v>
      </c>
      <c r="P152" s="4" t="n">
        <v>45973.466099537</v>
      </c>
      <c r="Q152" s="4" t="n">
        <v>45973.466099537</v>
      </c>
    </row>
    <row r="153" customFormat="false" ht="15" hidden="false" customHeight="false" outlineLevel="0" collapsed="false">
      <c r="A153" s="1" t="str">
        <f aca="false">Feuil1!H153</f>
        <v>52986</v>
      </c>
      <c r="B153" s="1" t="s">
        <v>17</v>
      </c>
      <c r="C153" s="1" t="s">
        <v>17</v>
      </c>
      <c r="D153" s="1" t="s">
        <v>17</v>
      </c>
      <c r="E153" s="1" t="s">
        <v>17</v>
      </c>
      <c r="F153" s="1" t="s">
        <v>17</v>
      </c>
      <c r="G153" s="1" t="s">
        <v>17</v>
      </c>
      <c r="H153" s="1" t="s">
        <v>17</v>
      </c>
      <c r="I153" s="3" t="str">
        <f aca="false">Feuil1!I153</f>
        <v>Skis Alpin </v>
      </c>
      <c r="J153" s="3" t="str">
        <f aca="false">Feuil1!J153</f>
        <v>Rossignol hero</v>
      </c>
      <c r="K153" s="3" t="str">
        <f aca="false">Feuil1!K153</f>
        <v>150 cm</v>
      </c>
      <c r="L153" s="3" t="n">
        <f aca="false">Feuil1!L153</f>
        <v>59</v>
      </c>
      <c r="M153" s="1" t="s">
        <v>17</v>
      </c>
      <c r="N153" s="1" t="s">
        <v>18</v>
      </c>
      <c r="O153" s="1" t="s">
        <v>19</v>
      </c>
      <c r="P153" s="4" t="n">
        <v>45973.466099537</v>
      </c>
      <c r="Q153" s="4" t="n">
        <v>45973.466099537</v>
      </c>
    </row>
    <row r="154" customFormat="false" ht="15" hidden="false" customHeight="false" outlineLevel="0" collapsed="false">
      <c r="A154" s="1" t="str">
        <f aca="false">Feuil1!H154</f>
        <v>52987</v>
      </c>
      <c r="B154" s="1" t="s">
        <v>17</v>
      </c>
      <c r="C154" s="1" t="s">
        <v>17</v>
      </c>
      <c r="D154" s="1" t="s">
        <v>17</v>
      </c>
      <c r="E154" s="1" t="s">
        <v>17</v>
      </c>
      <c r="F154" s="1" t="s">
        <v>17</v>
      </c>
      <c r="G154" s="1" t="s">
        <v>17</v>
      </c>
      <c r="H154" s="1" t="s">
        <v>17</v>
      </c>
      <c r="I154" s="3" t="str">
        <f aca="false">Feuil1!I154</f>
        <v>Skis Alpin </v>
      </c>
      <c r="J154" s="3" t="str">
        <f aca="false">Feuil1!J154</f>
        <v>Rossignol hero</v>
      </c>
      <c r="K154" s="3" t="str">
        <f aca="false">Feuil1!K154</f>
        <v>150 cm</v>
      </c>
      <c r="L154" s="3" t="n">
        <f aca="false">Feuil1!L154</f>
        <v>59</v>
      </c>
      <c r="M154" s="1" t="s">
        <v>17</v>
      </c>
      <c r="N154" s="1" t="s">
        <v>18</v>
      </c>
      <c r="O154" s="1" t="s">
        <v>19</v>
      </c>
      <c r="P154" s="4" t="n">
        <v>45973.466099537</v>
      </c>
      <c r="Q154" s="4" t="n">
        <v>45973.466099537</v>
      </c>
    </row>
    <row r="155" customFormat="false" ht="15" hidden="false" customHeight="false" outlineLevel="0" collapsed="false">
      <c r="A155" s="1" t="str">
        <f aca="false">Feuil1!H155</f>
        <v>52988</v>
      </c>
      <c r="B155" s="1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17</v>
      </c>
      <c r="H155" s="1" t="s">
        <v>17</v>
      </c>
      <c r="I155" s="3" t="str">
        <f aca="false">Feuil1!I155</f>
        <v>Skis Alpin </v>
      </c>
      <c r="J155" s="3" t="str">
        <f aca="false">Feuil1!J155</f>
        <v>Rossignol spayer</v>
      </c>
      <c r="K155" s="3" t="str">
        <f aca="false">Feuil1!K155</f>
        <v>148 cm</v>
      </c>
      <c r="L155" s="3" t="n">
        <f aca="false">Feuil1!L155</f>
        <v>59</v>
      </c>
      <c r="M155" s="1" t="s">
        <v>17</v>
      </c>
      <c r="N155" s="1" t="s">
        <v>18</v>
      </c>
      <c r="O155" s="1" t="s">
        <v>19</v>
      </c>
      <c r="P155" s="4" t="n">
        <v>45973.466099537</v>
      </c>
      <c r="Q155" s="4" t="n">
        <v>45973.466099537</v>
      </c>
    </row>
    <row r="156" customFormat="false" ht="15" hidden="false" customHeight="false" outlineLevel="0" collapsed="false">
      <c r="A156" s="1" t="str">
        <f aca="false">Feuil1!H156</f>
        <v>52989</v>
      </c>
      <c r="B156" s="1" t="s">
        <v>17</v>
      </c>
      <c r="C156" s="1" t="s">
        <v>17</v>
      </c>
      <c r="D156" s="1" t="s">
        <v>17</v>
      </c>
      <c r="E156" s="1" t="s">
        <v>17</v>
      </c>
      <c r="F156" s="1" t="s">
        <v>17</v>
      </c>
      <c r="G156" s="1" t="s">
        <v>17</v>
      </c>
      <c r="H156" s="1" t="s">
        <v>17</v>
      </c>
      <c r="I156" s="3" t="str">
        <f aca="false">Feuil1!I156</f>
        <v>Skis Alpin </v>
      </c>
      <c r="J156" s="3" t="str">
        <f aca="false">Feuil1!J156</f>
        <v>Rossignol famous</v>
      </c>
      <c r="K156" s="3" t="str">
        <f aca="false">Feuil1!K156</f>
        <v>150 cm</v>
      </c>
      <c r="L156" s="3" t="n">
        <f aca="false">Feuil1!L156</f>
        <v>69</v>
      </c>
      <c r="M156" s="1" t="s">
        <v>17</v>
      </c>
      <c r="N156" s="1" t="s">
        <v>18</v>
      </c>
      <c r="O156" s="1" t="s">
        <v>19</v>
      </c>
      <c r="P156" s="4" t="n">
        <v>45973.466099537</v>
      </c>
      <c r="Q156" s="4" t="n">
        <v>45973.466099537</v>
      </c>
    </row>
    <row r="157" customFormat="false" ht="15" hidden="false" customHeight="false" outlineLevel="0" collapsed="false">
      <c r="A157" s="1" t="str">
        <f aca="false">Feuil1!H157</f>
        <v>52990</v>
      </c>
      <c r="B157" s="1" t="s">
        <v>17</v>
      </c>
      <c r="C157" s="1" t="s">
        <v>17</v>
      </c>
      <c r="D157" s="1" t="s">
        <v>17</v>
      </c>
      <c r="E157" s="1" t="s">
        <v>17</v>
      </c>
      <c r="F157" s="1" t="s">
        <v>17</v>
      </c>
      <c r="G157" s="1" t="s">
        <v>17</v>
      </c>
      <c r="H157" s="1" t="s">
        <v>17</v>
      </c>
      <c r="I157" s="3" t="str">
        <f aca="false">Feuil1!I157</f>
        <v>Skis Alpin </v>
      </c>
      <c r="J157" s="3" t="str">
        <f aca="false">Feuil1!J157</f>
        <v>Rossignol diva</v>
      </c>
      <c r="K157" s="3" t="str">
        <f aca="false">Feuil1!K157</f>
        <v>150 cm</v>
      </c>
      <c r="L157" s="3" t="n">
        <f aca="false">Feuil1!L157</f>
        <v>59</v>
      </c>
      <c r="M157" s="1" t="s">
        <v>17</v>
      </c>
      <c r="N157" s="1" t="s">
        <v>18</v>
      </c>
      <c r="O157" s="1" t="s">
        <v>19</v>
      </c>
      <c r="P157" s="4" t="n">
        <v>45973.466099537</v>
      </c>
      <c r="Q157" s="4" t="n">
        <v>45973.466099537</v>
      </c>
    </row>
    <row r="158" customFormat="false" ht="15" hidden="false" customHeight="false" outlineLevel="0" collapsed="false">
      <c r="A158" s="1" t="str">
        <f aca="false">Feuil1!H158</f>
        <v>52991</v>
      </c>
      <c r="B158" s="1" t="s">
        <v>17</v>
      </c>
      <c r="C158" s="1" t="s">
        <v>17</v>
      </c>
      <c r="D158" s="1" t="s">
        <v>17</v>
      </c>
      <c r="E158" s="1" t="s">
        <v>17</v>
      </c>
      <c r="F158" s="1" t="s">
        <v>17</v>
      </c>
      <c r="G158" s="1" t="s">
        <v>17</v>
      </c>
      <c r="H158" s="1" t="s">
        <v>17</v>
      </c>
      <c r="I158" s="3" t="str">
        <f aca="false">Feuil1!I158</f>
        <v>Skis Alpin </v>
      </c>
      <c r="J158" s="3" t="str">
        <f aca="false">Feuil1!J158</f>
        <v>dynastar speed</v>
      </c>
      <c r="K158" s="3" t="str">
        <f aca="false">Feuil1!K158</f>
        <v>160 cm</v>
      </c>
      <c r="L158" s="3" t="n">
        <f aca="false">Feuil1!L158</f>
        <v>69</v>
      </c>
      <c r="M158" s="1" t="s">
        <v>17</v>
      </c>
      <c r="N158" s="1" t="s">
        <v>18</v>
      </c>
      <c r="O158" s="1" t="s">
        <v>19</v>
      </c>
      <c r="P158" s="4" t="n">
        <v>45973.466099537</v>
      </c>
      <c r="Q158" s="4" t="n">
        <v>45973.466099537</v>
      </c>
    </row>
    <row r="159" customFormat="false" ht="15" hidden="false" customHeight="false" outlineLevel="0" collapsed="false">
      <c r="A159" s="1" t="str">
        <f aca="false">Feuil1!H159</f>
        <v>52992</v>
      </c>
      <c r="B159" s="1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17</v>
      </c>
      <c r="H159" s="1" t="s">
        <v>17</v>
      </c>
      <c r="I159" s="3" t="str">
        <f aca="false">Feuil1!I159</f>
        <v>Skis Alpin </v>
      </c>
      <c r="J159" s="3" t="str">
        <f aca="false">Feuil1!J159</f>
        <v>dynastar speed</v>
      </c>
      <c r="K159" s="3" t="str">
        <f aca="false">Feuil1!K159</f>
        <v>160 cm</v>
      </c>
      <c r="L159" s="3" t="n">
        <f aca="false">Feuil1!L159</f>
        <v>69</v>
      </c>
      <c r="M159" s="1" t="s">
        <v>17</v>
      </c>
      <c r="N159" s="1" t="s">
        <v>18</v>
      </c>
      <c r="O159" s="1" t="s">
        <v>19</v>
      </c>
      <c r="P159" s="4" t="n">
        <v>45973.466099537</v>
      </c>
      <c r="Q159" s="4" t="n">
        <v>45973.466099537</v>
      </c>
    </row>
    <row r="160" customFormat="false" ht="15" hidden="false" customHeight="false" outlineLevel="0" collapsed="false">
      <c r="A160" s="1" t="str">
        <f aca="false">Feuil1!H160</f>
        <v>52993</v>
      </c>
      <c r="B160" s="1" t="s">
        <v>17</v>
      </c>
      <c r="C160" s="1" t="s">
        <v>17</v>
      </c>
      <c r="D160" s="1" t="s">
        <v>17</v>
      </c>
      <c r="E160" s="1" t="s">
        <v>17</v>
      </c>
      <c r="F160" s="1" t="s">
        <v>17</v>
      </c>
      <c r="G160" s="1" t="s">
        <v>17</v>
      </c>
      <c r="H160" s="1" t="s">
        <v>17</v>
      </c>
      <c r="I160" s="3" t="str">
        <f aca="false">Feuil1!I160</f>
        <v>Skis Alpin </v>
      </c>
      <c r="J160" s="3" t="str">
        <f aca="false">Feuil1!J160</f>
        <v>dynastar speed</v>
      </c>
      <c r="K160" s="3" t="str">
        <f aca="false">Feuil1!K160</f>
        <v>160 cm</v>
      </c>
      <c r="L160" s="3" t="n">
        <f aca="false">Feuil1!L160</f>
        <v>69</v>
      </c>
      <c r="M160" s="1" t="s">
        <v>17</v>
      </c>
      <c r="N160" s="1" t="s">
        <v>18</v>
      </c>
      <c r="O160" s="1" t="s">
        <v>19</v>
      </c>
      <c r="P160" s="4" t="n">
        <v>45973.466099537</v>
      </c>
      <c r="Q160" s="4" t="n">
        <v>45973.466099537</v>
      </c>
    </row>
    <row r="161" customFormat="false" ht="15" hidden="false" customHeight="false" outlineLevel="0" collapsed="false">
      <c r="A161" s="1" t="str">
        <f aca="false">Feuil1!H161</f>
        <v>52994</v>
      </c>
      <c r="B161" s="1" t="s">
        <v>17</v>
      </c>
      <c r="C161" s="1" t="s">
        <v>17</v>
      </c>
      <c r="D161" s="1" t="s">
        <v>17</v>
      </c>
      <c r="E161" s="1" t="s">
        <v>17</v>
      </c>
      <c r="F161" s="1" t="s">
        <v>17</v>
      </c>
      <c r="G161" s="1" t="s">
        <v>17</v>
      </c>
      <c r="H161" s="1" t="s">
        <v>17</v>
      </c>
      <c r="I161" s="3" t="str">
        <f aca="false">Feuil1!I161</f>
        <v>Skis Alpin </v>
      </c>
      <c r="J161" s="3" t="str">
        <f aca="false">Feuil1!J161</f>
        <v>dynastar speed</v>
      </c>
      <c r="K161" s="3" t="str">
        <f aca="false">Feuil1!K161</f>
        <v>150 cm</v>
      </c>
      <c r="L161" s="3" t="n">
        <f aca="false">Feuil1!L161</f>
        <v>69</v>
      </c>
      <c r="M161" s="1" t="s">
        <v>17</v>
      </c>
      <c r="N161" s="1" t="s">
        <v>18</v>
      </c>
      <c r="O161" s="1" t="s">
        <v>19</v>
      </c>
      <c r="P161" s="4" t="n">
        <v>45973.466099537</v>
      </c>
      <c r="Q161" s="4" t="n">
        <v>45973.466099537</v>
      </c>
    </row>
    <row r="162" customFormat="false" ht="15" hidden="false" customHeight="false" outlineLevel="0" collapsed="false">
      <c r="A162" s="1" t="str">
        <f aca="false">Feuil1!H162</f>
        <v>52995</v>
      </c>
      <c r="B162" s="1" t="s">
        <v>17</v>
      </c>
      <c r="C162" s="1" t="s">
        <v>17</v>
      </c>
      <c r="D162" s="1" t="s">
        <v>17</v>
      </c>
      <c r="E162" s="1" t="s">
        <v>17</v>
      </c>
      <c r="F162" s="1" t="s">
        <v>17</v>
      </c>
      <c r="G162" s="1" t="s">
        <v>17</v>
      </c>
      <c r="H162" s="1" t="s">
        <v>17</v>
      </c>
      <c r="I162" s="3" t="str">
        <f aca="false">Feuil1!I162</f>
        <v>Skis Alpin </v>
      </c>
      <c r="J162" s="3" t="str">
        <f aca="false">Feuil1!J162</f>
        <v>dynastar speed</v>
      </c>
      <c r="K162" s="3" t="str">
        <f aca="false">Feuil1!K162</f>
        <v>150 cm</v>
      </c>
      <c r="L162" s="3" t="n">
        <f aca="false">Feuil1!L162</f>
        <v>69</v>
      </c>
      <c r="M162" s="1" t="s">
        <v>17</v>
      </c>
      <c r="N162" s="1" t="s">
        <v>18</v>
      </c>
      <c r="O162" s="1" t="s">
        <v>19</v>
      </c>
      <c r="P162" s="4" t="n">
        <v>45973.466099537</v>
      </c>
      <c r="Q162" s="4" t="n">
        <v>45973.466099537</v>
      </c>
    </row>
    <row r="163" customFormat="false" ht="15" hidden="false" customHeight="false" outlineLevel="0" collapsed="false">
      <c r="A163" s="1" t="str">
        <f aca="false">Feuil1!H163</f>
        <v>52996</v>
      </c>
      <c r="B163" s="1" t="s">
        <v>17</v>
      </c>
      <c r="C163" s="1" t="s">
        <v>17</v>
      </c>
      <c r="D163" s="1" t="s">
        <v>17</v>
      </c>
      <c r="E163" s="1" t="s">
        <v>17</v>
      </c>
      <c r="F163" s="1" t="s">
        <v>17</v>
      </c>
      <c r="G163" s="1" t="s">
        <v>17</v>
      </c>
      <c r="H163" s="1" t="s">
        <v>17</v>
      </c>
      <c r="I163" s="3" t="str">
        <f aca="false">Feuil1!I163</f>
        <v>Skis Alpin </v>
      </c>
      <c r="J163" s="3" t="str">
        <f aca="false">Feuil1!J163</f>
        <v>blizzard rc</v>
      </c>
      <c r="K163" s="3" t="str">
        <f aca="false">Feuil1!K163</f>
        <v>160 cm</v>
      </c>
      <c r="L163" s="3" t="n">
        <f aca="false">Feuil1!L163</f>
        <v>69</v>
      </c>
      <c r="M163" s="1" t="s">
        <v>17</v>
      </c>
      <c r="N163" s="1" t="s">
        <v>18</v>
      </c>
      <c r="O163" s="1" t="s">
        <v>19</v>
      </c>
      <c r="P163" s="4" t="n">
        <v>45973.466099537</v>
      </c>
      <c r="Q163" s="4" t="n">
        <v>45973.466099537</v>
      </c>
    </row>
    <row r="164" customFormat="false" ht="15" hidden="false" customHeight="false" outlineLevel="0" collapsed="false">
      <c r="A164" s="1" t="str">
        <f aca="false">Feuil1!H164</f>
        <v>52997</v>
      </c>
      <c r="B164" s="1" t="s">
        <v>17</v>
      </c>
      <c r="C164" s="1" t="s">
        <v>17</v>
      </c>
      <c r="D164" s="1" t="s">
        <v>17</v>
      </c>
      <c r="E164" s="1" t="s">
        <v>17</v>
      </c>
      <c r="F164" s="1" t="s">
        <v>17</v>
      </c>
      <c r="G164" s="1" t="s">
        <v>17</v>
      </c>
      <c r="H164" s="1" t="s">
        <v>17</v>
      </c>
      <c r="I164" s="3" t="str">
        <f aca="false">Feuil1!I164</f>
        <v>Skis Alpin </v>
      </c>
      <c r="J164" s="3" t="str">
        <f aca="false">Feuil1!J164</f>
        <v>head super shape</v>
      </c>
      <c r="K164" s="3" t="str">
        <f aca="false">Feuil1!K164</f>
        <v>150 cm</v>
      </c>
      <c r="L164" s="3" t="n">
        <f aca="false">Feuil1!L164</f>
        <v>69</v>
      </c>
      <c r="M164" s="1" t="s">
        <v>17</v>
      </c>
      <c r="N164" s="1" t="s">
        <v>18</v>
      </c>
      <c r="O164" s="1" t="s">
        <v>19</v>
      </c>
      <c r="P164" s="4" t="n">
        <v>45973.466099537</v>
      </c>
      <c r="Q164" s="4" t="n">
        <v>45973.466099537</v>
      </c>
    </row>
    <row r="165" customFormat="false" ht="15" hidden="false" customHeight="false" outlineLevel="0" collapsed="false">
      <c r="A165" s="1" t="str">
        <f aca="false">Feuil1!H165</f>
        <v>52998</v>
      </c>
      <c r="B165" s="1" t="s">
        <v>17</v>
      </c>
      <c r="C165" s="1" t="s">
        <v>17</v>
      </c>
      <c r="D165" s="1" t="s">
        <v>17</v>
      </c>
      <c r="E165" s="1" t="s">
        <v>17</v>
      </c>
      <c r="F165" s="1" t="s">
        <v>17</v>
      </c>
      <c r="G165" s="1" t="s">
        <v>17</v>
      </c>
      <c r="H165" s="1" t="s">
        <v>17</v>
      </c>
      <c r="I165" s="3" t="str">
        <f aca="false">Feuil1!I165</f>
        <v>Skis Alpin </v>
      </c>
      <c r="J165" s="3" t="str">
        <f aca="false">Feuil1!J165</f>
        <v>fisher rc4</v>
      </c>
      <c r="K165" s="3" t="str">
        <f aca="false">Feuil1!K165</f>
        <v>150 cm</v>
      </c>
      <c r="L165" s="3" t="n">
        <f aca="false">Feuil1!L165</f>
        <v>49</v>
      </c>
      <c r="M165" s="1" t="s">
        <v>17</v>
      </c>
      <c r="N165" s="1" t="s">
        <v>18</v>
      </c>
      <c r="O165" s="1" t="s">
        <v>19</v>
      </c>
      <c r="P165" s="4" t="n">
        <v>45973.466099537</v>
      </c>
      <c r="Q165" s="4" t="n">
        <v>45973.466099537</v>
      </c>
    </row>
    <row r="166" customFormat="false" ht="15" hidden="false" customHeight="false" outlineLevel="0" collapsed="false">
      <c r="A166" s="1" t="str">
        <f aca="false">Feuil1!H166</f>
        <v>52999</v>
      </c>
      <c r="B166" s="1" t="s">
        <v>17</v>
      </c>
      <c r="C166" s="1" t="s">
        <v>17</v>
      </c>
      <c r="D166" s="1" t="s">
        <v>17</v>
      </c>
      <c r="E166" s="1" t="s">
        <v>17</v>
      </c>
      <c r="F166" s="1" t="s">
        <v>17</v>
      </c>
      <c r="G166" s="1" t="s">
        <v>17</v>
      </c>
      <c r="H166" s="1" t="s">
        <v>17</v>
      </c>
      <c r="I166" s="3" t="str">
        <f aca="false">Feuil1!I166</f>
        <v>Skis Alpin </v>
      </c>
      <c r="J166" s="3" t="str">
        <f aca="false">Feuil1!J166</f>
        <v>fisher rc5</v>
      </c>
      <c r="K166" s="3" t="str">
        <f aca="false">Feuil1!K166</f>
        <v>150 cm</v>
      </c>
      <c r="L166" s="3" t="n">
        <f aca="false">Feuil1!L166</f>
        <v>49</v>
      </c>
      <c r="M166" s="1" t="s">
        <v>17</v>
      </c>
      <c r="N166" s="1" t="s">
        <v>18</v>
      </c>
      <c r="O166" s="1" t="s">
        <v>19</v>
      </c>
      <c r="P166" s="4" t="n">
        <v>45973.466099537</v>
      </c>
      <c r="Q166" s="4" t="n">
        <v>45973.466099537</v>
      </c>
    </row>
    <row r="167" customFormat="false" ht="15" hidden="false" customHeight="false" outlineLevel="0" collapsed="false">
      <c r="A167" s="1" t="str">
        <f aca="false">Feuil1!H167</f>
        <v>53000</v>
      </c>
      <c r="B167" s="1" t="s">
        <v>17</v>
      </c>
      <c r="C167" s="1" t="s">
        <v>17</v>
      </c>
      <c r="D167" s="1" t="s">
        <v>17</v>
      </c>
      <c r="E167" s="1" t="s">
        <v>17</v>
      </c>
      <c r="F167" s="1" t="s">
        <v>17</v>
      </c>
      <c r="G167" s="1" t="s">
        <v>17</v>
      </c>
      <c r="H167" s="1" t="s">
        <v>17</v>
      </c>
      <c r="I167" s="3" t="str">
        <f aca="false">Feuil1!I167</f>
        <v>Skis Alpin </v>
      </c>
      <c r="J167" s="3" t="str">
        <f aca="false">Feuil1!J167</f>
        <v>elan twist</v>
      </c>
      <c r="K167" s="3" t="str">
        <f aca="false">Feuil1!K167</f>
        <v>145 cm</v>
      </c>
      <c r="L167" s="3" t="n">
        <f aca="false">Feuil1!L167</f>
        <v>59</v>
      </c>
      <c r="M167" s="1" t="s">
        <v>17</v>
      </c>
      <c r="N167" s="1" t="s">
        <v>18</v>
      </c>
      <c r="O167" s="1" t="s">
        <v>19</v>
      </c>
      <c r="P167" s="4" t="n">
        <v>45973.466099537</v>
      </c>
      <c r="Q167" s="4" t="n">
        <v>45973.466099537</v>
      </c>
    </row>
    <row r="168" customFormat="false" ht="15" hidden="false" customHeight="false" outlineLevel="0" collapsed="false">
      <c r="A168" s="1" t="str">
        <f aca="false">Feuil1!H168</f>
        <v>53001</v>
      </c>
      <c r="B168" s="1" t="s">
        <v>17</v>
      </c>
      <c r="C168" s="1" t="s">
        <v>17</v>
      </c>
      <c r="D168" s="1" t="s">
        <v>17</v>
      </c>
      <c r="E168" s="1" t="s">
        <v>17</v>
      </c>
      <c r="F168" s="1" t="s">
        <v>17</v>
      </c>
      <c r="G168" s="1" t="s">
        <v>17</v>
      </c>
      <c r="H168" s="1" t="s">
        <v>17</v>
      </c>
      <c r="I168" s="3" t="str">
        <f aca="false">Feuil1!I168</f>
        <v>Skis Alpin </v>
      </c>
      <c r="J168" s="3" t="str">
        <f aca="false">Feuil1!J168</f>
        <v>elan rc</v>
      </c>
      <c r="K168" s="3" t="str">
        <f aca="false">Feuil1!K168</f>
        <v>150 cm</v>
      </c>
      <c r="L168" s="3" t="n">
        <f aca="false">Feuil1!L168</f>
        <v>59</v>
      </c>
      <c r="M168" s="1" t="s">
        <v>17</v>
      </c>
      <c r="N168" s="1" t="s">
        <v>18</v>
      </c>
      <c r="O168" s="1" t="s">
        <v>19</v>
      </c>
      <c r="P168" s="4" t="n">
        <v>45973.466099537</v>
      </c>
      <c r="Q168" s="4" t="n">
        <v>45973.466099537</v>
      </c>
    </row>
    <row r="169" customFormat="false" ht="15" hidden="false" customHeight="false" outlineLevel="0" collapsed="false">
      <c r="A169" s="1" t="str">
        <f aca="false">Feuil1!H169</f>
        <v>53002</v>
      </c>
      <c r="B169" s="1" t="s">
        <v>17</v>
      </c>
      <c r="C169" s="1" t="s">
        <v>17</v>
      </c>
      <c r="D169" s="1" t="s">
        <v>17</v>
      </c>
      <c r="E169" s="1" t="s">
        <v>17</v>
      </c>
      <c r="F169" s="1" t="s">
        <v>17</v>
      </c>
      <c r="G169" s="1" t="s">
        <v>17</v>
      </c>
      <c r="H169" s="1" t="s">
        <v>17</v>
      </c>
      <c r="I169" s="3" t="str">
        <f aca="false">Feuil1!I169</f>
        <v>Skis Alpin </v>
      </c>
      <c r="J169" s="3" t="str">
        <f aca="false">Feuil1!J169</f>
        <v>Rossignol pro</v>
      </c>
      <c r="K169" s="3" t="str">
        <f aca="false">Feuil1!K169</f>
        <v>140 cm</v>
      </c>
      <c r="L169" s="3" t="n">
        <f aca="false">Feuil1!L169</f>
        <v>59</v>
      </c>
      <c r="M169" s="1" t="s">
        <v>17</v>
      </c>
      <c r="N169" s="1" t="s">
        <v>18</v>
      </c>
      <c r="O169" s="1" t="s">
        <v>19</v>
      </c>
      <c r="P169" s="4" t="n">
        <v>45973.466099537</v>
      </c>
      <c r="Q169" s="4" t="n">
        <v>45973.466099537</v>
      </c>
    </row>
    <row r="170" customFormat="false" ht="15" hidden="false" customHeight="false" outlineLevel="0" collapsed="false">
      <c r="A170" s="1" t="str">
        <f aca="false">Feuil1!H170</f>
        <v>53003</v>
      </c>
      <c r="B170" s="1" t="s">
        <v>17</v>
      </c>
      <c r="C170" s="1" t="s">
        <v>17</v>
      </c>
      <c r="D170" s="1" t="s">
        <v>17</v>
      </c>
      <c r="E170" s="1" t="s">
        <v>17</v>
      </c>
      <c r="F170" s="1" t="s">
        <v>17</v>
      </c>
      <c r="G170" s="1" t="s">
        <v>17</v>
      </c>
      <c r="H170" s="1" t="s">
        <v>17</v>
      </c>
      <c r="I170" s="3" t="str">
        <f aca="false">Feuil1!I170</f>
        <v>Skis Alpin </v>
      </c>
      <c r="J170" s="3" t="str">
        <f aca="false">Feuil1!J170</f>
        <v>Rossignol pro</v>
      </c>
      <c r="K170" s="3" t="str">
        <f aca="false">Feuil1!K170</f>
        <v>140 cm</v>
      </c>
      <c r="L170" s="3" t="n">
        <f aca="false">Feuil1!L170</f>
        <v>59</v>
      </c>
      <c r="M170" s="1" t="s">
        <v>17</v>
      </c>
      <c r="N170" s="1" t="s">
        <v>18</v>
      </c>
      <c r="O170" s="1" t="s">
        <v>19</v>
      </c>
      <c r="P170" s="4" t="n">
        <v>45973.466099537</v>
      </c>
      <c r="Q170" s="4" t="n">
        <v>45973.466099537</v>
      </c>
    </row>
    <row r="171" customFormat="false" ht="15" hidden="false" customHeight="false" outlineLevel="0" collapsed="false">
      <c r="A171" s="1" t="str">
        <f aca="false">Feuil1!H171</f>
        <v>53004</v>
      </c>
      <c r="B171" s="1" t="s">
        <v>17</v>
      </c>
      <c r="C171" s="1" t="s">
        <v>17</v>
      </c>
      <c r="D171" s="1" t="s">
        <v>17</v>
      </c>
      <c r="E171" s="1" t="s">
        <v>17</v>
      </c>
      <c r="F171" s="1" t="s">
        <v>17</v>
      </c>
      <c r="G171" s="1" t="s">
        <v>17</v>
      </c>
      <c r="H171" s="1" t="s">
        <v>17</v>
      </c>
      <c r="I171" s="3" t="str">
        <f aca="false">Feuil1!I171</f>
        <v>Skis Alpin </v>
      </c>
      <c r="J171" s="3" t="str">
        <f aca="false">Feuil1!J171</f>
        <v>Rossignol pro</v>
      </c>
      <c r="K171" s="3" t="str">
        <f aca="false">Feuil1!K171</f>
        <v>140 cm</v>
      </c>
      <c r="L171" s="3" t="n">
        <f aca="false">Feuil1!L171</f>
        <v>59</v>
      </c>
      <c r="M171" s="1" t="s">
        <v>17</v>
      </c>
      <c r="N171" s="1" t="s">
        <v>18</v>
      </c>
      <c r="O171" s="1" t="s">
        <v>19</v>
      </c>
      <c r="P171" s="4" t="n">
        <v>45973.466099537</v>
      </c>
      <c r="Q171" s="4" t="n">
        <v>45973.466099537</v>
      </c>
    </row>
    <row r="172" customFormat="false" ht="15" hidden="false" customHeight="false" outlineLevel="0" collapsed="false">
      <c r="A172" s="1" t="str">
        <f aca="false">Feuil1!H172</f>
        <v>53005</v>
      </c>
      <c r="B172" s="1" t="s">
        <v>17</v>
      </c>
      <c r="C172" s="1" t="s">
        <v>17</v>
      </c>
      <c r="D172" s="1" t="s">
        <v>17</v>
      </c>
      <c r="E172" s="1" t="s">
        <v>17</v>
      </c>
      <c r="F172" s="1" t="s">
        <v>17</v>
      </c>
      <c r="G172" s="1" t="s">
        <v>17</v>
      </c>
      <c r="H172" s="1" t="s">
        <v>17</v>
      </c>
      <c r="I172" s="3" t="str">
        <f aca="false">Feuil1!I172</f>
        <v>Skis Alpin </v>
      </c>
      <c r="J172" s="3" t="str">
        <f aca="false">Feuil1!J172</f>
        <v>Rossignol pro</v>
      </c>
      <c r="K172" s="3" t="str">
        <f aca="false">Feuil1!K172</f>
        <v>130 cm</v>
      </c>
      <c r="L172" s="3" t="n">
        <f aca="false">Feuil1!L172</f>
        <v>55</v>
      </c>
      <c r="M172" s="1" t="s">
        <v>17</v>
      </c>
      <c r="N172" s="1" t="s">
        <v>18</v>
      </c>
      <c r="O172" s="1" t="s">
        <v>19</v>
      </c>
      <c r="P172" s="4" t="n">
        <v>45973.466099537</v>
      </c>
      <c r="Q172" s="4" t="n">
        <v>45973.466099537</v>
      </c>
    </row>
    <row r="173" customFormat="false" ht="15" hidden="false" customHeight="false" outlineLevel="0" collapsed="false">
      <c r="A173" s="1" t="str">
        <f aca="false">Feuil1!H173</f>
        <v>53006</v>
      </c>
      <c r="B173" s="1" t="s">
        <v>17</v>
      </c>
      <c r="C173" s="1" t="s">
        <v>17</v>
      </c>
      <c r="D173" s="1" t="s">
        <v>17</v>
      </c>
      <c r="E173" s="1" t="s">
        <v>17</v>
      </c>
      <c r="F173" s="1" t="s">
        <v>17</v>
      </c>
      <c r="G173" s="1" t="s">
        <v>17</v>
      </c>
      <c r="H173" s="1" t="s">
        <v>17</v>
      </c>
      <c r="I173" s="3" t="str">
        <f aca="false">Feuil1!I173</f>
        <v>Skis Alpin </v>
      </c>
      <c r="J173" s="3" t="str">
        <f aca="false">Feuil1!J173</f>
        <v>Rossignol famous</v>
      </c>
      <c r="K173" s="3" t="str">
        <f aca="false">Feuil1!K173</f>
        <v>140 cm</v>
      </c>
      <c r="L173" s="3" t="n">
        <f aca="false">Feuil1!L173</f>
        <v>69</v>
      </c>
      <c r="M173" s="1" t="s">
        <v>17</v>
      </c>
      <c r="N173" s="1" t="s">
        <v>18</v>
      </c>
      <c r="O173" s="1" t="s">
        <v>19</v>
      </c>
      <c r="P173" s="4" t="n">
        <v>45973.466099537</v>
      </c>
      <c r="Q173" s="4" t="n">
        <v>45973.466099537</v>
      </c>
    </row>
    <row r="174" customFormat="false" ht="15" hidden="false" customHeight="false" outlineLevel="0" collapsed="false">
      <c r="A174" s="1" t="str">
        <f aca="false">Feuil1!H174</f>
        <v>53007</v>
      </c>
      <c r="B174" s="1" t="s">
        <v>17</v>
      </c>
      <c r="C174" s="1" t="s">
        <v>17</v>
      </c>
      <c r="D174" s="1" t="s">
        <v>17</v>
      </c>
      <c r="E174" s="1" t="s">
        <v>17</v>
      </c>
      <c r="F174" s="1" t="s">
        <v>17</v>
      </c>
      <c r="G174" s="1" t="s">
        <v>17</v>
      </c>
      <c r="H174" s="1" t="s">
        <v>17</v>
      </c>
      <c r="I174" s="3" t="str">
        <f aca="false">Feuil1!I174</f>
        <v>Skis Alpin </v>
      </c>
      <c r="J174" s="3" t="str">
        <f aca="false">Feuil1!J174</f>
        <v>Rossignol famous</v>
      </c>
      <c r="K174" s="3" t="str">
        <f aca="false">Feuil1!K174</f>
        <v>130 cm</v>
      </c>
      <c r="L174" s="3" t="n">
        <f aca="false">Feuil1!L174</f>
        <v>69</v>
      </c>
      <c r="M174" s="1" t="s">
        <v>17</v>
      </c>
      <c r="N174" s="1" t="s">
        <v>18</v>
      </c>
      <c r="O174" s="1" t="s">
        <v>19</v>
      </c>
      <c r="P174" s="4" t="n">
        <v>45973.466099537</v>
      </c>
      <c r="Q174" s="4" t="n">
        <v>45973.466099537</v>
      </c>
    </row>
    <row r="175" customFormat="false" ht="15" hidden="false" customHeight="false" outlineLevel="0" collapsed="false">
      <c r="A175" s="1" t="str">
        <f aca="false">Feuil1!H175</f>
        <v>53008</v>
      </c>
      <c r="B175" s="1" t="s">
        <v>17</v>
      </c>
      <c r="C175" s="1" t="s">
        <v>17</v>
      </c>
      <c r="D175" s="1" t="s">
        <v>17</v>
      </c>
      <c r="E175" s="1" t="s">
        <v>17</v>
      </c>
      <c r="F175" s="1" t="s">
        <v>17</v>
      </c>
      <c r="G175" s="1" t="s">
        <v>17</v>
      </c>
      <c r="H175" s="1" t="s">
        <v>17</v>
      </c>
      <c r="I175" s="3" t="str">
        <f aca="false">Feuil1!I175</f>
        <v>Skis Alpin </v>
      </c>
      <c r="J175" s="3" t="str">
        <f aca="false">Feuil1!J175</f>
        <v>Rossignol hero</v>
      </c>
      <c r="K175" s="3" t="str">
        <f aca="false">Feuil1!K175</f>
        <v>140 cm</v>
      </c>
      <c r="L175" s="3" t="n">
        <f aca="false">Feuil1!L175</f>
        <v>59</v>
      </c>
      <c r="M175" s="1" t="s">
        <v>17</v>
      </c>
      <c r="N175" s="1" t="s">
        <v>18</v>
      </c>
      <c r="O175" s="1" t="s">
        <v>19</v>
      </c>
      <c r="P175" s="4" t="n">
        <v>45973.466099537</v>
      </c>
      <c r="Q175" s="4" t="n">
        <v>45973.466099537</v>
      </c>
    </row>
    <row r="176" customFormat="false" ht="15" hidden="false" customHeight="false" outlineLevel="0" collapsed="false">
      <c r="A176" s="1" t="str">
        <f aca="false">Feuil1!H176</f>
        <v>53009</v>
      </c>
      <c r="B176" s="1" t="s">
        <v>17</v>
      </c>
      <c r="C176" s="1" t="s">
        <v>17</v>
      </c>
      <c r="D176" s="1" t="s">
        <v>17</v>
      </c>
      <c r="E176" s="1" t="s">
        <v>17</v>
      </c>
      <c r="F176" s="1" t="s">
        <v>17</v>
      </c>
      <c r="G176" s="1" t="s">
        <v>17</v>
      </c>
      <c r="H176" s="1" t="s">
        <v>17</v>
      </c>
      <c r="I176" s="3" t="str">
        <f aca="false">Feuil1!I176</f>
        <v>Skis Alpin </v>
      </c>
      <c r="J176" s="3" t="str">
        <f aca="false">Feuil1!J176</f>
        <v>Rossignol hero</v>
      </c>
      <c r="K176" s="3" t="str">
        <f aca="false">Feuil1!K176</f>
        <v>140 cm</v>
      </c>
      <c r="L176" s="3" t="n">
        <f aca="false">Feuil1!L176</f>
        <v>59</v>
      </c>
      <c r="M176" s="1" t="s">
        <v>17</v>
      </c>
      <c r="N176" s="1" t="s">
        <v>18</v>
      </c>
      <c r="O176" s="1" t="s">
        <v>19</v>
      </c>
      <c r="P176" s="4" t="n">
        <v>45973.466099537</v>
      </c>
      <c r="Q176" s="4" t="n">
        <v>45973.466099537</v>
      </c>
    </row>
    <row r="177" customFormat="false" ht="15" hidden="false" customHeight="false" outlineLevel="0" collapsed="false">
      <c r="A177" s="1" t="str">
        <f aca="false">Feuil1!H177</f>
        <v>53010</v>
      </c>
      <c r="B177" s="1" t="s">
        <v>17</v>
      </c>
      <c r="C177" s="1" t="s">
        <v>17</v>
      </c>
      <c r="D177" s="1" t="s">
        <v>17</v>
      </c>
      <c r="E177" s="1" t="s">
        <v>17</v>
      </c>
      <c r="F177" s="1" t="s">
        <v>17</v>
      </c>
      <c r="G177" s="1" t="s">
        <v>17</v>
      </c>
      <c r="H177" s="1" t="s">
        <v>17</v>
      </c>
      <c r="I177" s="3" t="str">
        <f aca="false">Feuil1!I177</f>
        <v>Skis Alpin </v>
      </c>
      <c r="J177" s="3" t="str">
        <f aca="false">Feuil1!J177</f>
        <v>Rossignol hero</v>
      </c>
      <c r="K177" s="3" t="str">
        <f aca="false">Feuil1!K177</f>
        <v>140 cm</v>
      </c>
      <c r="L177" s="3" t="n">
        <f aca="false">Feuil1!L177</f>
        <v>59</v>
      </c>
      <c r="M177" s="1" t="s">
        <v>17</v>
      </c>
      <c r="N177" s="1" t="s">
        <v>18</v>
      </c>
      <c r="O177" s="1" t="s">
        <v>19</v>
      </c>
      <c r="P177" s="4" t="n">
        <v>45973.466099537</v>
      </c>
      <c r="Q177" s="4" t="n">
        <v>45973.466099537</v>
      </c>
    </row>
    <row r="178" customFormat="false" ht="15" hidden="false" customHeight="false" outlineLevel="0" collapsed="false">
      <c r="A178" s="1" t="str">
        <f aca="false">Feuil1!H178</f>
        <v>53011</v>
      </c>
      <c r="B178" s="1" t="s">
        <v>17</v>
      </c>
      <c r="C178" s="1" t="s">
        <v>17</v>
      </c>
      <c r="D178" s="1" t="s">
        <v>17</v>
      </c>
      <c r="E178" s="1" t="s">
        <v>17</v>
      </c>
      <c r="F178" s="1" t="s">
        <v>17</v>
      </c>
      <c r="G178" s="1" t="s">
        <v>17</v>
      </c>
      <c r="H178" s="1" t="s">
        <v>17</v>
      </c>
      <c r="I178" s="3" t="str">
        <f aca="false">Feuil1!I178</f>
        <v>Skis Alpin </v>
      </c>
      <c r="J178" s="3" t="str">
        <f aca="false">Feuil1!J178</f>
        <v>Rossignol hero</v>
      </c>
      <c r="K178" s="3" t="str">
        <f aca="false">Feuil1!K178</f>
        <v>140 cm</v>
      </c>
      <c r="L178" s="3" t="n">
        <f aca="false">Feuil1!L178</f>
        <v>55</v>
      </c>
      <c r="M178" s="1" t="s">
        <v>17</v>
      </c>
      <c r="N178" s="1" t="s">
        <v>18</v>
      </c>
      <c r="O178" s="1" t="s">
        <v>19</v>
      </c>
      <c r="P178" s="4" t="n">
        <v>45973.466099537</v>
      </c>
      <c r="Q178" s="4" t="n">
        <v>45973.466099537</v>
      </c>
    </row>
    <row r="179" customFormat="false" ht="15" hidden="false" customHeight="false" outlineLevel="0" collapsed="false">
      <c r="A179" s="1" t="str">
        <f aca="false">Feuil1!H179</f>
        <v>53012</v>
      </c>
      <c r="B179" s="1" t="s">
        <v>17</v>
      </c>
      <c r="C179" s="1" t="s">
        <v>17</v>
      </c>
      <c r="D179" s="1" t="s">
        <v>17</v>
      </c>
      <c r="E179" s="1" t="s">
        <v>17</v>
      </c>
      <c r="F179" s="1" t="s">
        <v>17</v>
      </c>
      <c r="G179" s="1" t="s">
        <v>17</v>
      </c>
      <c r="H179" s="1" t="s">
        <v>17</v>
      </c>
      <c r="I179" s="3" t="str">
        <f aca="false">Feuil1!I179</f>
        <v>Skis Alpin </v>
      </c>
      <c r="J179" s="3" t="str">
        <f aca="false">Feuil1!J179</f>
        <v>Rossignol hero</v>
      </c>
      <c r="K179" s="3" t="str">
        <f aca="false">Feuil1!K179</f>
        <v>142 cm</v>
      </c>
      <c r="L179" s="3" t="n">
        <f aca="false">Feuil1!L179</f>
        <v>75</v>
      </c>
      <c r="M179" s="1" t="s">
        <v>17</v>
      </c>
      <c r="N179" s="1" t="s">
        <v>18</v>
      </c>
      <c r="O179" s="1" t="s">
        <v>19</v>
      </c>
      <c r="P179" s="4" t="n">
        <v>45973.466099537</v>
      </c>
      <c r="Q179" s="4" t="n">
        <v>45973.466099537</v>
      </c>
    </row>
    <row r="180" customFormat="false" ht="15" hidden="false" customHeight="false" outlineLevel="0" collapsed="false">
      <c r="A180" s="1" t="str">
        <f aca="false">Feuil1!H180</f>
        <v>53013</v>
      </c>
      <c r="B180" s="1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1" t="s">
        <v>17</v>
      </c>
      <c r="H180" s="1" t="s">
        <v>17</v>
      </c>
      <c r="I180" s="3" t="str">
        <f aca="false">Feuil1!I180</f>
        <v>Skis Alpin </v>
      </c>
      <c r="J180" s="3" t="str">
        <f aca="false">Feuil1!J180</f>
        <v>Rossignol fungirl</v>
      </c>
      <c r="K180" s="3" t="str">
        <f aca="false">Feuil1!K180</f>
        <v>140 cm</v>
      </c>
      <c r="L180" s="3" t="n">
        <f aca="false">Feuil1!L180</f>
        <v>55</v>
      </c>
      <c r="M180" s="1" t="s">
        <v>17</v>
      </c>
      <c r="N180" s="1" t="s">
        <v>18</v>
      </c>
      <c r="O180" s="1" t="s">
        <v>19</v>
      </c>
      <c r="P180" s="4" t="n">
        <v>45973.466099537</v>
      </c>
      <c r="Q180" s="4" t="n">
        <v>45973.466099537</v>
      </c>
    </row>
    <row r="181" customFormat="false" ht="15" hidden="false" customHeight="false" outlineLevel="0" collapsed="false">
      <c r="A181" s="1" t="str">
        <f aca="false">Feuil1!H181</f>
        <v>53014</v>
      </c>
      <c r="B181" s="1" t="s">
        <v>17</v>
      </c>
      <c r="C181" s="1" t="s">
        <v>17</v>
      </c>
      <c r="D181" s="1" t="s">
        <v>17</v>
      </c>
      <c r="E181" s="1" t="s">
        <v>17</v>
      </c>
      <c r="F181" s="1" t="s">
        <v>17</v>
      </c>
      <c r="G181" s="1" t="s">
        <v>17</v>
      </c>
      <c r="H181" s="1" t="s">
        <v>17</v>
      </c>
      <c r="I181" s="3" t="str">
        <f aca="false">Feuil1!I181</f>
        <v>Skis Alpin </v>
      </c>
      <c r="J181" s="3" t="str">
        <f aca="false">Feuil1!J181</f>
        <v>fisher curv</v>
      </c>
      <c r="K181" s="3" t="str">
        <f aca="false">Feuil1!K181</f>
        <v>140 cm</v>
      </c>
      <c r="L181" s="3" t="n">
        <f aca="false">Feuil1!L181</f>
        <v>59</v>
      </c>
      <c r="M181" s="1" t="s">
        <v>17</v>
      </c>
      <c r="N181" s="1" t="s">
        <v>18</v>
      </c>
      <c r="O181" s="1" t="s">
        <v>19</v>
      </c>
      <c r="P181" s="4" t="n">
        <v>45973.466099537</v>
      </c>
      <c r="Q181" s="4" t="n">
        <v>45973.466099537</v>
      </c>
    </row>
    <row r="182" customFormat="false" ht="15" hidden="false" customHeight="false" outlineLevel="0" collapsed="false">
      <c r="A182" s="1" t="str">
        <f aca="false">Feuil1!H182</f>
        <v>53015</v>
      </c>
      <c r="B182" s="1" t="s">
        <v>17</v>
      </c>
      <c r="C182" s="1" t="s">
        <v>17</v>
      </c>
      <c r="D182" s="1" t="s">
        <v>17</v>
      </c>
      <c r="E182" s="1" t="s">
        <v>17</v>
      </c>
      <c r="F182" s="1" t="s">
        <v>17</v>
      </c>
      <c r="G182" s="1" t="s">
        <v>17</v>
      </c>
      <c r="H182" s="1" t="s">
        <v>17</v>
      </c>
      <c r="I182" s="3" t="str">
        <f aca="false">Feuil1!I182</f>
        <v>Skis Alpin </v>
      </c>
      <c r="J182" s="3" t="str">
        <f aca="false">Feuil1!J182</f>
        <v>fisher rc4</v>
      </c>
      <c r="K182" s="3" t="str">
        <f aca="false">Feuil1!K182</f>
        <v>140 cm</v>
      </c>
      <c r="L182" s="3" t="n">
        <f aca="false">Feuil1!L182</f>
        <v>49</v>
      </c>
      <c r="M182" s="1" t="s">
        <v>17</v>
      </c>
      <c r="N182" s="1" t="s">
        <v>18</v>
      </c>
      <c r="O182" s="1" t="s">
        <v>19</v>
      </c>
      <c r="P182" s="4" t="n">
        <v>45973.466099537</v>
      </c>
      <c r="Q182" s="4" t="n">
        <v>45973.466099537</v>
      </c>
    </row>
    <row r="183" customFormat="false" ht="15" hidden="false" customHeight="false" outlineLevel="0" collapsed="false">
      <c r="A183" s="1" t="str">
        <f aca="false">Feuil1!H183</f>
        <v>53016</v>
      </c>
      <c r="B183" s="1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1" t="s">
        <v>17</v>
      </c>
      <c r="H183" s="1" t="s">
        <v>17</v>
      </c>
      <c r="I183" s="3" t="str">
        <f aca="false">Feuil1!I183</f>
        <v>Skis Alpin </v>
      </c>
      <c r="J183" s="3" t="str">
        <f aca="false">Feuil1!J183</f>
        <v>dynastar speed</v>
      </c>
      <c r="K183" s="3" t="str">
        <f aca="false">Feuil1!K183</f>
        <v>140 cm</v>
      </c>
      <c r="L183" s="3" t="n">
        <f aca="false">Feuil1!L183</f>
        <v>69</v>
      </c>
      <c r="M183" s="1" t="s">
        <v>17</v>
      </c>
      <c r="N183" s="1" t="s">
        <v>18</v>
      </c>
      <c r="O183" s="1" t="s">
        <v>19</v>
      </c>
      <c r="P183" s="4" t="n">
        <v>45973.466099537</v>
      </c>
      <c r="Q183" s="4" t="n">
        <v>45973.466099537</v>
      </c>
    </row>
    <row r="184" customFormat="false" ht="15" hidden="false" customHeight="false" outlineLevel="0" collapsed="false">
      <c r="A184" s="1" t="str">
        <f aca="false">Feuil1!H184</f>
        <v>53017</v>
      </c>
      <c r="B184" s="1" t="s">
        <v>17</v>
      </c>
      <c r="C184" s="1" t="s">
        <v>17</v>
      </c>
      <c r="D184" s="1" t="s">
        <v>17</v>
      </c>
      <c r="E184" s="1" t="s">
        <v>17</v>
      </c>
      <c r="F184" s="1" t="s">
        <v>17</v>
      </c>
      <c r="G184" s="1" t="s">
        <v>17</v>
      </c>
      <c r="H184" s="1" t="s">
        <v>17</v>
      </c>
      <c r="I184" s="3" t="str">
        <f aca="false">Feuil1!I184</f>
        <v>Skis Alpin </v>
      </c>
      <c r="J184" s="3" t="str">
        <f aca="false">Feuil1!J184</f>
        <v>dynastar speed</v>
      </c>
      <c r="K184" s="3" t="str">
        <f aca="false">Feuil1!K184</f>
        <v>140 cm</v>
      </c>
      <c r="L184" s="3" t="n">
        <f aca="false">Feuil1!L184</f>
        <v>69</v>
      </c>
      <c r="M184" s="1" t="s">
        <v>17</v>
      </c>
      <c r="N184" s="1" t="s">
        <v>18</v>
      </c>
      <c r="O184" s="1" t="s">
        <v>19</v>
      </c>
      <c r="P184" s="4" t="n">
        <v>45973.466099537</v>
      </c>
      <c r="Q184" s="4" t="n">
        <v>45973.466099537</v>
      </c>
    </row>
    <row r="185" customFormat="false" ht="15" hidden="false" customHeight="false" outlineLevel="0" collapsed="false">
      <c r="A185" s="1" t="str">
        <f aca="false">Feuil1!H185</f>
        <v>53018</v>
      </c>
      <c r="B185" s="1" t="s">
        <v>17</v>
      </c>
      <c r="C185" s="1" t="s">
        <v>17</v>
      </c>
      <c r="D185" s="1" t="s">
        <v>17</v>
      </c>
      <c r="E185" s="1" t="s">
        <v>17</v>
      </c>
      <c r="F185" s="1" t="s">
        <v>17</v>
      </c>
      <c r="G185" s="1" t="s">
        <v>17</v>
      </c>
      <c r="H185" s="1" t="s">
        <v>17</v>
      </c>
      <c r="I185" s="3" t="str">
        <f aca="false">Feuil1!I185</f>
        <v>Skis Alpin </v>
      </c>
      <c r="J185" s="3" t="str">
        <f aca="false">Feuil1!J185</f>
        <v>dynastar speed</v>
      </c>
      <c r="K185" s="3" t="str">
        <f aca="false">Feuil1!K185</f>
        <v>140 cm</v>
      </c>
      <c r="L185" s="3" t="n">
        <f aca="false">Feuil1!L185</f>
        <v>69</v>
      </c>
      <c r="M185" s="1" t="s">
        <v>17</v>
      </c>
      <c r="N185" s="1" t="s">
        <v>18</v>
      </c>
      <c r="O185" s="1" t="s">
        <v>19</v>
      </c>
      <c r="P185" s="4" t="n">
        <v>45973.466099537</v>
      </c>
      <c r="Q185" s="4" t="n">
        <v>45973.466099537</v>
      </c>
    </row>
    <row r="186" customFormat="false" ht="15" hidden="false" customHeight="false" outlineLevel="0" collapsed="false">
      <c r="A186" s="1" t="str">
        <f aca="false">Feuil1!H186</f>
        <v>53019</v>
      </c>
      <c r="B186" s="1" t="s">
        <v>17</v>
      </c>
      <c r="C186" s="1" t="s">
        <v>17</v>
      </c>
      <c r="D186" s="1" t="s">
        <v>17</v>
      </c>
      <c r="E186" s="1" t="s">
        <v>17</v>
      </c>
      <c r="F186" s="1" t="s">
        <v>17</v>
      </c>
      <c r="G186" s="1" t="s">
        <v>17</v>
      </c>
      <c r="H186" s="1" t="s">
        <v>17</v>
      </c>
      <c r="I186" s="3" t="str">
        <f aca="false">Feuil1!I186</f>
        <v>Skis Alpin </v>
      </c>
      <c r="J186" s="3" t="str">
        <f aca="false">Feuil1!J186</f>
        <v>elan rc</v>
      </c>
      <c r="K186" s="3" t="str">
        <f aca="false">Feuil1!K186</f>
        <v>140 cm</v>
      </c>
      <c r="L186" s="3" t="n">
        <f aca="false">Feuil1!L186</f>
        <v>59</v>
      </c>
      <c r="M186" s="1" t="s">
        <v>17</v>
      </c>
      <c r="N186" s="1" t="s">
        <v>18</v>
      </c>
      <c r="O186" s="1" t="s">
        <v>19</v>
      </c>
      <c r="P186" s="4" t="n">
        <v>45973.466099537</v>
      </c>
      <c r="Q186" s="4" t="n">
        <v>45973.466099537</v>
      </c>
    </row>
    <row r="187" customFormat="false" ht="15" hidden="false" customHeight="false" outlineLevel="0" collapsed="false">
      <c r="A187" s="1" t="str">
        <f aca="false">Feuil1!H187</f>
        <v>53020</v>
      </c>
      <c r="B187" s="1" t="s">
        <v>17</v>
      </c>
      <c r="C187" s="1" t="s">
        <v>17</v>
      </c>
      <c r="D187" s="1" t="s">
        <v>17</v>
      </c>
      <c r="E187" s="1" t="s">
        <v>17</v>
      </c>
      <c r="F187" s="1" t="s">
        <v>17</v>
      </c>
      <c r="G187" s="1" t="s">
        <v>17</v>
      </c>
      <c r="H187" s="1" t="s">
        <v>17</v>
      </c>
      <c r="I187" s="3" t="str">
        <f aca="false">Feuil1!I187</f>
        <v>Skis Alpin </v>
      </c>
      <c r="J187" s="3" t="str">
        <f aca="false">Feuil1!J187</f>
        <v>elan rc</v>
      </c>
      <c r="K187" s="3" t="str">
        <f aca="false">Feuil1!K187</f>
        <v>140 cm</v>
      </c>
      <c r="L187" s="3" t="n">
        <f aca="false">Feuil1!L187</f>
        <v>59</v>
      </c>
      <c r="M187" s="1" t="s">
        <v>17</v>
      </c>
      <c r="N187" s="1" t="s">
        <v>18</v>
      </c>
      <c r="O187" s="1" t="s">
        <v>19</v>
      </c>
      <c r="P187" s="4" t="n">
        <v>45973.466099537</v>
      </c>
      <c r="Q187" s="4" t="n">
        <v>45973.466099537</v>
      </c>
    </row>
    <row r="188" customFormat="false" ht="15" hidden="false" customHeight="false" outlineLevel="0" collapsed="false">
      <c r="A188" s="1" t="str">
        <f aca="false">Feuil1!H188</f>
        <v>53021</v>
      </c>
      <c r="B188" s="1" t="s">
        <v>17</v>
      </c>
      <c r="C188" s="1" t="s">
        <v>17</v>
      </c>
      <c r="D188" s="1" t="s">
        <v>17</v>
      </c>
      <c r="E188" s="1" t="s">
        <v>17</v>
      </c>
      <c r="F188" s="1" t="s">
        <v>17</v>
      </c>
      <c r="G188" s="1" t="s">
        <v>17</v>
      </c>
      <c r="H188" s="1" t="s">
        <v>17</v>
      </c>
      <c r="I188" s="3" t="str">
        <f aca="false">Feuil1!I188</f>
        <v>Skis Alpin </v>
      </c>
      <c r="J188" s="3" t="str">
        <f aca="false">Feuil1!J188</f>
        <v>elan spice</v>
      </c>
      <c r="K188" s="3" t="str">
        <f aca="false">Feuil1!K188</f>
        <v>140 cm</v>
      </c>
      <c r="L188" s="3" t="n">
        <f aca="false">Feuil1!L188</f>
        <v>55</v>
      </c>
      <c r="M188" s="1" t="s">
        <v>17</v>
      </c>
      <c r="N188" s="1" t="s">
        <v>18</v>
      </c>
      <c r="O188" s="1" t="s">
        <v>19</v>
      </c>
      <c r="P188" s="4" t="n">
        <v>45973.466099537</v>
      </c>
      <c r="Q188" s="4" t="n">
        <v>45973.466099537</v>
      </c>
    </row>
    <row r="189" customFormat="false" ht="15" hidden="false" customHeight="false" outlineLevel="0" collapsed="false">
      <c r="A189" s="1" t="str">
        <f aca="false">Feuil1!H189</f>
        <v>53022</v>
      </c>
      <c r="B189" s="1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1" t="s">
        <v>17</v>
      </c>
      <c r="H189" s="1" t="s">
        <v>17</v>
      </c>
      <c r="I189" s="3" t="str">
        <f aca="false">Feuil1!I189</f>
        <v>Skis Alpin </v>
      </c>
      <c r="J189" s="3" t="str">
        <f aca="false">Feuil1!J189</f>
        <v>atomic etl</v>
      </c>
      <c r="K189" s="3" t="str">
        <f aca="false">Feuil1!K189</f>
        <v>138 cm</v>
      </c>
      <c r="L189" s="3" t="n">
        <f aca="false">Feuil1!L189</f>
        <v>59</v>
      </c>
      <c r="M189" s="1" t="s">
        <v>17</v>
      </c>
      <c r="N189" s="1" t="s">
        <v>18</v>
      </c>
      <c r="O189" s="1" t="s">
        <v>19</v>
      </c>
      <c r="P189" s="4" t="n">
        <v>45973.466099537</v>
      </c>
      <c r="Q189" s="4" t="n">
        <v>45973.466099537</v>
      </c>
    </row>
    <row r="190" customFormat="false" ht="15" hidden="false" customHeight="false" outlineLevel="0" collapsed="false">
      <c r="A190" s="1" t="str">
        <f aca="false">Feuil1!H190</f>
        <v>53023</v>
      </c>
      <c r="B190" s="1" t="s">
        <v>17</v>
      </c>
      <c r="C190" s="1" t="s">
        <v>17</v>
      </c>
      <c r="D190" s="1" t="s">
        <v>17</v>
      </c>
      <c r="E190" s="1" t="s">
        <v>17</v>
      </c>
      <c r="F190" s="1" t="s">
        <v>17</v>
      </c>
      <c r="G190" s="1" t="s">
        <v>17</v>
      </c>
      <c r="H190" s="1" t="s">
        <v>17</v>
      </c>
      <c r="I190" s="3" t="str">
        <f aca="false">Feuil1!I190</f>
        <v>Skis Alpin </v>
      </c>
      <c r="J190" s="3" t="str">
        <f aca="false">Feuil1!J190</f>
        <v>head SP</v>
      </c>
      <c r="K190" s="3" t="str">
        <f aca="false">Feuil1!K190</f>
        <v>130 cm</v>
      </c>
      <c r="L190" s="3" t="n">
        <f aca="false">Feuil1!L190</f>
        <v>59</v>
      </c>
      <c r="M190" s="1" t="s">
        <v>17</v>
      </c>
      <c r="N190" s="1" t="s">
        <v>18</v>
      </c>
      <c r="O190" s="1" t="s">
        <v>19</v>
      </c>
      <c r="P190" s="4" t="n">
        <v>45973.466099537</v>
      </c>
      <c r="Q190" s="4" t="n">
        <v>45973.466099537</v>
      </c>
    </row>
    <row r="191" customFormat="false" ht="15" hidden="false" customHeight="false" outlineLevel="0" collapsed="false">
      <c r="A191" s="1" t="str">
        <f aca="false">Feuil1!H191</f>
        <v>53024</v>
      </c>
      <c r="B191" s="1" t="s">
        <v>17</v>
      </c>
      <c r="C191" s="1" t="s">
        <v>17</v>
      </c>
      <c r="D191" s="1" t="s">
        <v>17</v>
      </c>
      <c r="E191" s="1" t="s">
        <v>17</v>
      </c>
      <c r="F191" s="1" t="s">
        <v>17</v>
      </c>
      <c r="G191" s="1" t="s">
        <v>17</v>
      </c>
      <c r="H191" s="1" t="s">
        <v>17</v>
      </c>
      <c r="I191" s="3" t="str">
        <f aca="false">Feuil1!I191</f>
        <v>Skis Alpin </v>
      </c>
      <c r="J191" s="3" t="str">
        <f aca="false">Feuil1!J191</f>
        <v>fisher koa</v>
      </c>
      <c r="K191" s="3" t="str">
        <f aca="false">Feuil1!K191</f>
        <v>130 cm</v>
      </c>
      <c r="L191" s="3" t="n">
        <f aca="false">Feuil1!L191</f>
        <v>55</v>
      </c>
      <c r="M191" s="1" t="s">
        <v>17</v>
      </c>
      <c r="N191" s="1" t="s">
        <v>18</v>
      </c>
      <c r="O191" s="1" t="s">
        <v>19</v>
      </c>
      <c r="P191" s="4" t="n">
        <v>45973.466099537</v>
      </c>
      <c r="Q191" s="4" t="n">
        <v>45973.466099537</v>
      </c>
    </row>
    <row r="192" customFormat="false" ht="15" hidden="false" customHeight="false" outlineLevel="0" collapsed="false">
      <c r="A192" s="1" t="str">
        <f aca="false">Feuil1!H192</f>
        <v>53025</v>
      </c>
      <c r="B192" s="1" t="s">
        <v>17</v>
      </c>
      <c r="C192" s="1" t="s">
        <v>17</v>
      </c>
      <c r="D192" s="1" t="s">
        <v>17</v>
      </c>
      <c r="E192" s="1" t="s">
        <v>17</v>
      </c>
      <c r="F192" s="1" t="s">
        <v>17</v>
      </c>
      <c r="G192" s="1" t="s">
        <v>17</v>
      </c>
      <c r="H192" s="1" t="s">
        <v>17</v>
      </c>
      <c r="I192" s="3" t="str">
        <f aca="false">Feuil1!I192</f>
        <v>Skis Alpin </v>
      </c>
      <c r="J192" s="3" t="str">
        <f aca="false">Feuil1!J192</f>
        <v>dynastar slider</v>
      </c>
      <c r="K192" s="3" t="str">
        <f aca="false">Feuil1!K192</f>
        <v>130 cm</v>
      </c>
      <c r="L192" s="3" t="n">
        <f aca="false">Feuil1!L192</f>
        <v>59</v>
      </c>
      <c r="M192" s="1" t="s">
        <v>17</v>
      </c>
      <c r="N192" s="1" t="s">
        <v>18</v>
      </c>
      <c r="O192" s="1" t="s">
        <v>19</v>
      </c>
      <c r="P192" s="4" t="n">
        <v>45973.466099537</v>
      </c>
      <c r="Q192" s="4" t="n">
        <v>45973.466099537</v>
      </c>
    </row>
    <row r="193" customFormat="false" ht="15" hidden="false" customHeight="false" outlineLevel="0" collapsed="false">
      <c r="A193" s="1" t="str">
        <f aca="false">Feuil1!H193</f>
        <v>53544</v>
      </c>
      <c r="B193" s="1" t="s">
        <v>17</v>
      </c>
      <c r="C193" s="1" t="s">
        <v>17</v>
      </c>
      <c r="D193" s="1" t="s">
        <v>17</v>
      </c>
      <c r="E193" s="1" t="s">
        <v>17</v>
      </c>
      <c r="F193" s="1" t="s">
        <v>17</v>
      </c>
      <c r="G193" s="1" t="s">
        <v>17</v>
      </c>
      <c r="H193" s="1" t="s">
        <v>17</v>
      </c>
      <c r="I193" s="3" t="str">
        <f aca="false">Feuil1!I193</f>
        <v>Skis Alpin </v>
      </c>
      <c r="J193" s="3" t="str">
        <f aca="false">Feuil1!J193</f>
        <v>atomic j2-</v>
      </c>
      <c r="K193" s="3" t="str">
        <f aca="false">Feuil1!K193</f>
        <v>130 cm</v>
      </c>
      <c r="L193" s="3" t="n">
        <f aca="false">Feuil1!L193</f>
        <v>59</v>
      </c>
      <c r="M193" s="1" t="s">
        <v>17</v>
      </c>
      <c r="N193" s="1" t="s">
        <v>18</v>
      </c>
      <c r="O193" s="1" t="s">
        <v>19</v>
      </c>
      <c r="P193" s="4" t="n">
        <v>45973.466099537</v>
      </c>
      <c r="Q193" s="4" t="n">
        <v>45973.466099537</v>
      </c>
    </row>
    <row r="194" customFormat="false" ht="15" hidden="false" customHeight="false" outlineLevel="0" collapsed="false">
      <c r="A194" s="1" t="str">
        <f aca="false">Feuil1!H194</f>
        <v>53545</v>
      </c>
      <c r="B194" s="1" t="s">
        <v>17</v>
      </c>
      <c r="C194" s="1" t="s">
        <v>17</v>
      </c>
      <c r="D194" s="1" t="s">
        <v>17</v>
      </c>
      <c r="E194" s="1" t="s">
        <v>17</v>
      </c>
      <c r="F194" s="1" t="s">
        <v>17</v>
      </c>
      <c r="G194" s="1" t="s">
        <v>17</v>
      </c>
      <c r="H194" s="1" t="s">
        <v>17</v>
      </c>
      <c r="I194" s="3" t="str">
        <f aca="false">Feuil1!I194</f>
        <v>Skis Alpin </v>
      </c>
      <c r="J194" s="3" t="str">
        <f aca="false">Feuil1!J194</f>
        <v>atomic j2-</v>
      </c>
      <c r="K194" s="3" t="str">
        <f aca="false">Feuil1!K194</f>
        <v>130 cm</v>
      </c>
      <c r="L194" s="3" t="n">
        <f aca="false">Feuil1!L194</f>
        <v>59</v>
      </c>
      <c r="M194" s="1" t="s">
        <v>17</v>
      </c>
      <c r="N194" s="1" t="s">
        <v>18</v>
      </c>
      <c r="O194" s="1" t="s">
        <v>19</v>
      </c>
      <c r="P194" s="4" t="n">
        <v>45973.466099537</v>
      </c>
      <c r="Q194" s="4" t="n">
        <v>45973.466099537</v>
      </c>
    </row>
    <row r="195" customFormat="false" ht="15" hidden="false" customHeight="false" outlineLevel="0" collapsed="false">
      <c r="A195" s="1" t="str">
        <f aca="false">Feuil1!H195</f>
        <v>53546</v>
      </c>
      <c r="B195" s="1" t="s">
        <v>17</v>
      </c>
      <c r="C195" s="1" t="s">
        <v>17</v>
      </c>
      <c r="D195" s="1" t="s">
        <v>17</v>
      </c>
      <c r="E195" s="1" t="s">
        <v>17</v>
      </c>
      <c r="F195" s="1" t="s">
        <v>17</v>
      </c>
      <c r="G195" s="1" t="s">
        <v>17</v>
      </c>
      <c r="H195" s="1" t="s">
        <v>17</v>
      </c>
      <c r="I195" s="3" t="str">
        <f aca="false">Feuil1!I195</f>
        <v>Skis Alpin </v>
      </c>
      <c r="J195" s="3" t="str">
        <f aca="false">Feuil1!J195</f>
        <v>atomic j2-</v>
      </c>
      <c r="K195" s="3" t="str">
        <f aca="false">Feuil1!K195</f>
        <v>130 cm</v>
      </c>
      <c r="L195" s="3" t="n">
        <f aca="false">Feuil1!L195</f>
        <v>59</v>
      </c>
      <c r="M195" s="1" t="s">
        <v>17</v>
      </c>
      <c r="N195" s="1" t="s">
        <v>18</v>
      </c>
      <c r="O195" s="1" t="s">
        <v>19</v>
      </c>
      <c r="P195" s="4" t="n">
        <v>45973.466099537</v>
      </c>
      <c r="Q195" s="4" t="n">
        <v>45973.466099537</v>
      </c>
    </row>
    <row r="196" customFormat="false" ht="15" hidden="false" customHeight="false" outlineLevel="0" collapsed="false">
      <c r="A196" s="1" t="str">
        <f aca="false">Feuil1!H196</f>
        <v>53547</v>
      </c>
      <c r="B196" s="1" t="s">
        <v>17</v>
      </c>
      <c r="C196" s="1" t="s">
        <v>17</v>
      </c>
      <c r="D196" s="1" t="s">
        <v>17</v>
      </c>
      <c r="E196" s="1" t="s">
        <v>17</v>
      </c>
      <c r="F196" s="1" t="s">
        <v>17</v>
      </c>
      <c r="G196" s="1" t="s">
        <v>17</v>
      </c>
      <c r="H196" s="1" t="s">
        <v>17</v>
      </c>
      <c r="I196" s="3" t="str">
        <f aca="false">Feuil1!I196</f>
        <v>Skis Alpin </v>
      </c>
      <c r="J196" s="3" t="str">
        <f aca="false">Feuil1!J196</f>
        <v>fischer rc4</v>
      </c>
      <c r="K196" s="3" t="str">
        <f aca="false">Feuil1!K196</f>
        <v>130 cm</v>
      </c>
      <c r="L196" s="3" t="n">
        <f aca="false">Feuil1!L196</f>
        <v>49</v>
      </c>
      <c r="M196" s="1" t="s">
        <v>17</v>
      </c>
      <c r="N196" s="1" t="s">
        <v>18</v>
      </c>
      <c r="O196" s="1" t="s">
        <v>19</v>
      </c>
      <c r="P196" s="4" t="n">
        <v>45973.466099537</v>
      </c>
      <c r="Q196" s="4" t="n">
        <v>45973.466099537</v>
      </c>
    </row>
    <row r="197" customFormat="false" ht="15" hidden="false" customHeight="false" outlineLevel="0" collapsed="false">
      <c r="A197" s="1" t="str">
        <f aca="false">Feuil1!H197</f>
        <v>53548</v>
      </c>
      <c r="B197" s="1" t="s">
        <v>17</v>
      </c>
      <c r="C197" s="1" t="s">
        <v>17</v>
      </c>
      <c r="D197" s="1" t="s">
        <v>17</v>
      </c>
      <c r="E197" s="1" t="s">
        <v>17</v>
      </c>
      <c r="F197" s="1" t="s">
        <v>17</v>
      </c>
      <c r="G197" s="1" t="s">
        <v>17</v>
      </c>
      <c r="H197" s="1" t="s">
        <v>17</v>
      </c>
      <c r="I197" s="3" t="str">
        <f aca="false">Feuil1!I197</f>
        <v>Skis Alpin </v>
      </c>
      <c r="J197" s="3" t="str">
        <f aca="false">Feuil1!J197</f>
        <v>fischer rc5</v>
      </c>
      <c r="K197" s="3" t="str">
        <f aca="false">Feuil1!K197</f>
        <v>130 cm</v>
      </c>
      <c r="L197" s="3" t="n">
        <f aca="false">Feuil1!L197</f>
        <v>55</v>
      </c>
      <c r="M197" s="1" t="s">
        <v>17</v>
      </c>
      <c r="N197" s="1" t="s">
        <v>18</v>
      </c>
      <c r="O197" s="1" t="s">
        <v>19</v>
      </c>
      <c r="P197" s="4" t="n">
        <v>45973.466099537</v>
      </c>
      <c r="Q197" s="4" t="n">
        <v>45973.466099537</v>
      </c>
    </row>
    <row r="198" customFormat="false" ht="15" hidden="false" customHeight="false" outlineLevel="0" collapsed="false">
      <c r="A198" s="1" t="str">
        <f aca="false">Feuil1!H198</f>
        <v>53549</v>
      </c>
      <c r="B198" s="1" t="s">
        <v>17</v>
      </c>
      <c r="C198" s="1" t="s">
        <v>17</v>
      </c>
      <c r="D198" s="1" t="s">
        <v>17</v>
      </c>
      <c r="E198" s="1" t="s">
        <v>17</v>
      </c>
      <c r="F198" s="1" t="s">
        <v>17</v>
      </c>
      <c r="G198" s="1" t="s">
        <v>17</v>
      </c>
      <c r="H198" s="1" t="s">
        <v>17</v>
      </c>
      <c r="I198" s="3" t="str">
        <f aca="false">Feuil1!I198</f>
        <v>Skis Alpin </v>
      </c>
      <c r="J198" s="3" t="str">
        <f aca="false">Feuil1!J198</f>
        <v>fischer rc6</v>
      </c>
      <c r="K198" s="3" t="str">
        <f aca="false">Feuil1!K198</f>
        <v>130 cm</v>
      </c>
      <c r="L198" s="3" t="n">
        <f aca="false">Feuil1!L198</f>
        <v>59</v>
      </c>
      <c r="M198" s="1" t="s">
        <v>17</v>
      </c>
      <c r="N198" s="1" t="s">
        <v>18</v>
      </c>
      <c r="O198" s="1" t="s">
        <v>19</v>
      </c>
      <c r="P198" s="4" t="n">
        <v>45973.466099537</v>
      </c>
      <c r="Q198" s="4" t="n">
        <v>45973.466099537</v>
      </c>
    </row>
    <row r="199" customFormat="false" ht="15" hidden="false" customHeight="false" outlineLevel="0" collapsed="false">
      <c r="A199" s="1" t="str">
        <f aca="false">Feuil1!H199</f>
        <v>53550</v>
      </c>
      <c r="B199" s="1" t="s">
        <v>17</v>
      </c>
      <c r="C199" s="1" t="s">
        <v>17</v>
      </c>
      <c r="D199" s="1" t="s">
        <v>17</v>
      </c>
      <c r="E199" s="1" t="s">
        <v>17</v>
      </c>
      <c r="F199" s="1" t="s">
        <v>17</v>
      </c>
      <c r="G199" s="1" t="s">
        <v>17</v>
      </c>
      <c r="H199" s="1" t="s">
        <v>17</v>
      </c>
      <c r="I199" s="3" t="str">
        <f aca="false">Feuil1!I199</f>
        <v>Skis Alpin </v>
      </c>
      <c r="J199" s="3" t="str">
        <f aca="false">Feuil1!J199</f>
        <v>dynastar speed</v>
      </c>
      <c r="K199" s="3" t="str">
        <f aca="false">Feuil1!K199</f>
        <v>130 cm</v>
      </c>
      <c r="L199" s="3" t="n">
        <f aca="false">Feuil1!L199</f>
        <v>59</v>
      </c>
      <c r="M199" s="1" t="s">
        <v>17</v>
      </c>
      <c r="N199" s="1" t="s">
        <v>18</v>
      </c>
      <c r="O199" s="1" t="s">
        <v>19</v>
      </c>
      <c r="P199" s="4" t="n">
        <v>45973.466099537</v>
      </c>
      <c r="Q199" s="4" t="n">
        <v>45973.466099537</v>
      </c>
    </row>
    <row r="200" customFormat="false" ht="15" hidden="false" customHeight="false" outlineLevel="0" collapsed="false">
      <c r="A200" s="1" t="str">
        <f aca="false">Feuil1!H200</f>
        <v>53551</v>
      </c>
      <c r="B200" s="1" t="s">
        <v>17</v>
      </c>
      <c r="C200" s="1" t="s">
        <v>17</v>
      </c>
      <c r="D200" s="1" t="s">
        <v>17</v>
      </c>
      <c r="E200" s="1" t="s">
        <v>17</v>
      </c>
      <c r="F200" s="1" t="s">
        <v>17</v>
      </c>
      <c r="G200" s="1" t="s">
        <v>17</v>
      </c>
      <c r="H200" s="1" t="s">
        <v>17</v>
      </c>
      <c r="I200" s="3" t="str">
        <f aca="false">Feuil1!I200</f>
        <v>Skis Alpin </v>
      </c>
      <c r="J200" s="3" t="str">
        <f aca="false">Feuil1!J200</f>
        <v>dynastar speed</v>
      </c>
      <c r="K200" s="3" t="str">
        <f aca="false">Feuil1!K200</f>
        <v>130 cm</v>
      </c>
      <c r="L200" s="3" t="n">
        <f aca="false">Feuil1!L200</f>
        <v>59</v>
      </c>
      <c r="M200" s="1" t="s">
        <v>17</v>
      </c>
      <c r="N200" s="1" t="s">
        <v>18</v>
      </c>
      <c r="O200" s="1" t="s">
        <v>19</v>
      </c>
      <c r="P200" s="4" t="n">
        <v>45973.466099537</v>
      </c>
      <c r="Q200" s="4" t="n">
        <v>45973.466099537</v>
      </c>
    </row>
    <row r="201" customFormat="false" ht="15" hidden="false" customHeight="false" outlineLevel="0" collapsed="false">
      <c r="A201" s="1" t="str">
        <f aca="false">Feuil1!H201</f>
        <v>53552</v>
      </c>
      <c r="B201" s="1" t="s">
        <v>17</v>
      </c>
      <c r="C201" s="1" t="s">
        <v>17</v>
      </c>
      <c r="D201" s="1" t="s">
        <v>17</v>
      </c>
      <c r="E201" s="1" t="s">
        <v>17</v>
      </c>
      <c r="F201" s="1" t="s">
        <v>17</v>
      </c>
      <c r="G201" s="1" t="s">
        <v>17</v>
      </c>
      <c r="H201" s="1" t="s">
        <v>17</v>
      </c>
      <c r="I201" s="3" t="str">
        <f aca="false">Feuil1!I201</f>
        <v>Skis Alpin </v>
      </c>
      <c r="J201" s="3" t="str">
        <f aca="false">Feuil1!J201</f>
        <v>dynastar slider</v>
      </c>
      <c r="K201" s="3" t="str">
        <f aca="false">Feuil1!K201</f>
        <v>130 cm</v>
      </c>
      <c r="L201" s="3" t="n">
        <f aca="false">Feuil1!L201</f>
        <v>59</v>
      </c>
      <c r="M201" s="1" t="s">
        <v>17</v>
      </c>
      <c r="N201" s="1" t="s">
        <v>18</v>
      </c>
      <c r="O201" s="1" t="s">
        <v>19</v>
      </c>
      <c r="P201" s="4" t="n">
        <v>45973.466099537</v>
      </c>
      <c r="Q201" s="4" t="n">
        <v>45973.466099537</v>
      </c>
    </row>
    <row r="202" customFormat="false" ht="15" hidden="false" customHeight="false" outlineLevel="0" collapsed="false">
      <c r="A202" s="1" t="str">
        <f aca="false">Feuil1!H202</f>
        <v>53553</v>
      </c>
      <c r="B202" s="1" t="s">
        <v>17</v>
      </c>
      <c r="C202" s="1" t="s">
        <v>17</v>
      </c>
      <c r="D202" s="1" t="s">
        <v>17</v>
      </c>
      <c r="E202" s="1" t="s">
        <v>17</v>
      </c>
      <c r="F202" s="1" t="s">
        <v>17</v>
      </c>
      <c r="G202" s="1" t="s">
        <v>17</v>
      </c>
      <c r="H202" s="1" t="s">
        <v>17</v>
      </c>
      <c r="I202" s="3" t="str">
        <f aca="false">Feuil1!I202</f>
        <v>Skis Alpin </v>
      </c>
      <c r="J202" s="3" t="str">
        <f aca="false">Feuil1!J202</f>
        <v>Rossignol hero</v>
      </c>
      <c r="K202" s="3" t="str">
        <f aca="false">Feuil1!K202</f>
        <v>130 cm</v>
      </c>
      <c r="L202" s="3" t="n">
        <f aca="false">Feuil1!L202</f>
        <v>59</v>
      </c>
      <c r="M202" s="1" t="s">
        <v>17</v>
      </c>
      <c r="N202" s="1" t="s">
        <v>18</v>
      </c>
      <c r="O202" s="1" t="s">
        <v>19</v>
      </c>
      <c r="P202" s="4" t="n">
        <v>45973.466099537</v>
      </c>
      <c r="Q202" s="4" t="n">
        <v>45973.466099537</v>
      </c>
    </row>
    <row r="203" customFormat="false" ht="15" hidden="false" customHeight="false" outlineLevel="0" collapsed="false">
      <c r="A203" s="1" t="str">
        <f aca="false">Feuil1!H203</f>
        <v>53554</v>
      </c>
      <c r="B203" s="1" t="s">
        <v>17</v>
      </c>
      <c r="C203" s="1" t="s">
        <v>17</v>
      </c>
      <c r="D203" s="1" t="s">
        <v>17</v>
      </c>
      <c r="E203" s="1" t="s">
        <v>17</v>
      </c>
      <c r="F203" s="1" t="s">
        <v>17</v>
      </c>
      <c r="G203" s="1" t="s">
        <v>17</v>
      </c>
      <c r="H203" s="1" t="s">
        <v>17</v>
      </c>
      <c r="I203" s="3" t="str">
        <f aca="false">Feuil1!I203</f>
        <v>Skis Alpin </v>
      </c>
      <c r="J203" s="3" t="str">
        <f aca="false">Feuil1!J203</f>
        <v>Rossignol hero</v>
      </c>
      <c r="K203" s="3" t="str">
        <f aca="false">Feuil1!K203</f>
        <v>130 cm</v>
      </c>
      <c r="L203" s="3" t="n">
        <f aca="false">Feuil1!L203</f>
        <v>59</v>
      </c>
      <c r="M203" s="1" t="s">
        <v>17</v>
      </c>
      <c r="N203" s="1" t="s">
        <v>18</v>
      </c>
      <c r="O203" s="1" t="s">
        <v>19</v>
      </c>
      <c r="P203" s="4" t="n">
        <v>45973.466099537</v>
      </c>
      <c r="Q203" s="4" t="n">
        <v>45973.466099537</v>
      </c>
    </row>
    <row r="204" customFormat="false" ht="15" hidden="false" customHeight="false" outlineLevel="0" collapsed="false">
      <c r="A204" s="1" t="str">
        <f aca="false">Feuil1!H204</f>
        <v>53555</v>
      </c>
      <c r="B204" s="1" t="s">
        <v>17</v>
      </c>
      <c r="C204" s="1" t="s">
        <v>17</v>
      </c>
      <c r="D204" s="1" t="s">
        <v>17</v>
      </c>
      <c r="E204" s="1" t="s">
        <v>17</v>
      </c>
      <c r="F204" s="1" t="s">
        <v>17</v>
      </c>
      <c r="G204" s="1" t="s">
        <v>17</v>
      </c>
      <c r="H204" s="1" t="s">
        <v>17</v>
      </c>
      <c r="I204" s="3" t="str">
        <f aca="false">Feuil1!I204</f>
        <v>Skis Alpin </v>
      </c>
      <c r="J204" s="3" t="str">
        <f aca="false">Feuil1!J204</f>
        <v>Rossignol hero</v>
      </c>
      <c r="K204" s="3" t="str">
        <f aca="false">Feuil1!K204</f>
        <v>130 cm</v>
      </c>
      <c r="L204" s="3" t="n">
        <f aca="false">Feuil1!L204</f>
        <v>59</v>
      </c>
      <c r="M204" s="1" t="s">
        <v>17</v>
      </c>
      <c r="N204" s="1" t="s">
        <v>18</v>
      </c>
      <c r="O204" s="1" t="s">
        <v>19</v>
      </c>
      <c r="P204" s="4" t="n">
        <v>45973.466099537</v>
      </c>
      <c r="Q204" s="4" t="n">
        <v>45973.466099537</v>
      </c>
    </row>
    <row r="205" customFormat="false" ht="15" hidden="false" customHeight="false" outlineLevel="0" collapsed="false">
      <c r="A205" s="1" t="str">
        <f aca="false">Feuil1!H205</f>
        <v>53556</v>
      </c>
      <c r="B205" s="1" t="s">
        <v>17</v>
      </c>
      <c r="C205" s="1" t="s">
        <v>17</v>
      </c>
      <c r="D205" s="1" t="s">
        <v>17</v>
      </c>
      <c r="E205" s="1" t="s">
        <v>17</v>
      </c>
      <c r="F205" s="1" t="s">
        <v>17</v>
      </c>
      <c r="G205" s="1" t="s">
        <v>17</v>
      </c>
      <c r="H205" s="1" t="s">
        <v>17</v>
      </c>
      <c r="I205" s="3" t="str">
        <f aca="false">Feuil1!I205</f>
        <v>Skis Alpin </v>
      </c>
      <c r="J205" s="3" t="str">
        <f aca="false">Feuil1!J205</f>
        <v>Rossignol hero</v>
      </c>
      <c r="K205" s="3" t="str">
        <f aca="false">Feuil1!K205</f>
        <v>130 cm</v>
      </c>
      <c r="L205" s="3" t="n">
        <f aca="false">Feuil1!L205</f>
        <v>59</v>
      </c>
      <c r="M205" s="1" t="s">
        <v>17</v>
      </c>
      <c r="N205" s="1" t="s">
        <v>18</v>
      </c>
      <c r="O205" s="1" t="s">
        <v>19</v>
      </c>
      <c r="P205" s="4" t="n">
        <v>45973.466099537</v>
      </c>
      <c r="Q205" s="4" t="n">
        <v>45973.466099537</v>
      </c>
    </row>
    <row r="206" customFormat="false" ht="15" hidden="false" customHeight="false" outlineLevel="0" collapsed="false">
      <c r="A206" s="1" t="str">
        <f aca="false">Feuil1!H206</f>
        <v>53557</v>
      </c>
      <c r="B206" s="1" t="s">
        <v>17</v>
      </c>
      <c r="C206" s="1" t="s">
        <v>17</v>
      </c>
      <c r="D206" s="1" t="s">
        <v>17</v>
      </c>
      <c r="E206" s="1" t="s">
        <v>17</v>
      </c>
      <c r="F206" s="1" t="s">
        <v>17</v>
      </c>
      <c r="G206" s="1" t="s">
        <v>17</v>
      </c>
      <c r="H206" s="1" t="s">
        <v>17</v>
      </c>
      <c r="I206" s="3" t="str">
        <f aca="false">Feuil1!I206</f>
        <v>Skis Alpin </v>
      </c>
      <c r="J206" s="3" t="str">
        <f aca="false">Feuil1!J206</f>
        <v>Rossignol hero</v>
      </c>
      <c r="K206" s="3" t="str">
        <f aca="false">Feuil1!K206</f>
        <v>130 cm</v>
      </c>
      <c r="L206" s="3" t="n">
        <f aca="false">Feuil1!L206</f>
        <v>55</v>
      </c>
      <c r="M206" s="1" t="s">
        <v>17</v>
      </c>
      <c r="N206" s="1" t="s">
        <v>18</v>
      </c>
      <c r="O206" s="1" t="s">
        <v>19</v>
      </c>
      <c r="P206" s="4" t="n">
        <v>45973.466099537</v>
      </c>
      <c r="Q206" s="4" t="n">
        <v>45973.466099537</v>
      </c>
    </row>
    <row r="207" customFormat="false" ht="15" hidden="false" customHeight="false" outlineLevel="0" collapsed="false">
      <c r="A207" s="1" t="str">
        <f aca="false">Feuil1!H207</f>
        <v>53558</v>
      </c>
      <c r="B207" s="1" t="s">
        <v>17</v>
      </c>
      <c r="C207" s="1" t="s">
        <v>17</v>
      </c>
      <c r="D207" s="1" t="s">
        <v>17</v>
      </c>
      <c r="E207" s="1" t="s">
        <v>17</v>
      </c>
      <c r="F207" s="1" t="s">
        <v>17</v>
      </c>
      <c r="G207" s="1" t="s">
        <v>17</v>
      </c>
      <c r="H207" s="1" t="s">
        <v>17</v>
      </c>
      <c r="I207" s="3" t="str">
        <f aca="false">Feuil1!I207</f>
        <v>Skis Alpin </v>
      </c>
      <c r="J207" s="3" t="str">
        <f aca="false">Feuil1!J207</f>
        <v>Rossignol hero</v>
      </c>
      <c r="K207" s="3" t="str">
        <f aca="false">Feuil1!K207</f>
        <v>130 cm</v>
      </c>
      <c r="L207" s="3" t="n">
        <f aca="false">Feuil1!L207</f>
        <v>55</v>
      </c>
      <c r="M207" s="1" t="s">
        <v>17</v>
      </c>
      <c r="N207" s="1" t="s">
        <v>18</v>
      </c>
      <c r="O207" s="1" t="s">
        <v>19</v>
      </c>
      <c r="P207" s="4" t="n">
        <v>45973.466099537</v>
      </c>
      <c r="Q207" s="4" t="n">
        <v>45973.466099537</v>
      </c>
    </row>
    <row r="208" customFormat="false" ht="15" hidden="false" customHeight="false" outlineLevel="0" collapsed="false">
      <c r="A208" s="1" t="str">
        <f aca="false">Feuil1!H208</f>
        <v>53559</v>
      </c>
      <c r="B208" s="1" t="s">
        <v>17</v>
      </c>
      <c r="C208" s="1" t="s">
        <v>17</v>
      </c>
      <c r="D208" s="1" t="s">
        <v>17</v>
      </c>
      <c r="E208" s="1" t="s">
        <v>17</v>
      </c>
      <c r="F208" s="1" t="s">
        <v>17</v>
      </c>
      <c r="G208" s="1" t="s">
        <v>17</v>
      </c>
      <c r="H208" s="1" t="s">
        <v>17</v>
      </c>
      <c r="I208" s="3" t="str">
        <f aca="false">Feuil1!I208</f>
        <v>Skis Alpin </v>
      </c>
      <c r="J208" s="3" t="str">
        <f aca="false">Feuil1!J208</f>
        <v>Rossignol exp</v>
      </c>
      <c r="K208" s="3" t="str">
        <f aca="false">Feuil1!K208</f>
        <v>130 cm</v>
      </c>
      <c r="L208" s="3" t="n">
        <f aca="false">Feuil1!L208</f>
        <v>55</v>
      </c>
      <c r="M208" s="1" t="s">
        <v>17</v>
      </c>
      <c r="N208" s="1" t="s">
        <v>18</v>
      </c>
      <c r="O208" s="1" t="s">
        <v>19</v>
      </c>
      <c r="P208" s="4" t="n">
        <v>45973.466099537</v>
      </c>
      <c r="Q208" s="4" t="n">
        <v>45973.466099537</v>
      </c>
    </row>
    <row r="209" customFormat="false" ht="15" hidden="false" customHeight="false" outlineLevel="0" collapsed="false">
      <c r="A209" s="1" t="str">
        <f aca="false">Feuil1!H209</f>
        <v>53560</v>
      </c>
      <c r="B209" s="1" t="s">
        <v>17</v>
      </c>
      <c r="C209" s="1" t="s">
        <v>17</v>
      </c>
      <c r="D209" s="1" t="s">
        <v>17</v>
      </c>
      <c r="E209" s="1" t="s">
        <v>17</v>
      </c>
      <c r="F209" s="1" t="s">
        <v>17</v>
      </c>
      <c r="G209" s="1" t="s">
        <v>17</v>
      </c>
      <c r="H209" s="1" t="s">
        <v>17</v>
      </c>
      <c r="I209" s="3" t="str">
        <f aca="false">Feuil1!I209</f>
        <v>Skis Alpin </v>
      </c>
      <c r="J209" s="3" t="str">
        <f aca="false">Feuil1!J209</f>
        <v>Rossignol temp</v>
      </c>
      <c r="K209" s="3" t="str">
        <f aca="false">Feuil1!K209</f>
        <v>130 cm</v>
      </c>
      <c r="L209" s="3" t="n">
        <f aca="false">Feuil1!L209</f>
        <v>59</v>
      </c>
      <c r="M209" s="1" t="s">
        <v>17</v>
      </c>
      <c r="N209" s="1" t="s">
        <v>18</v>
      </c>
      <c r="O209" s="1" t="s">
        <v>19</v>
      </c>
      <c r="P209" s="4" t="n">
        <v>45973.466099537</v>
      </c>
      <c r="Q209" s="4" t="n">
        <v>45973.466099537</v>
      </c>
    </row>
    <row r="210" customFormat="false" ht="15" hidden="false" customHeight="false" outlineLevel="0" collapsed="false">
      <c r="A210" s="1" t="str">
        <f aca="false">Feuil1!H210</f>
        <v>53561</v>
      </c>
      <c r="B210" s="1" t="s">
        <v>17</v>
      </c>
      <c r="C210" s="1" t="s">
        <v>17</v>
      </c>
      <c r="D210" s="1" t="s">
        <v>17</v>
      </c>
      <c r="E210" s="1" t="s">
        <v>17</v>
      </c>
      <c r="F210" s="1" t="s">
        <v>17</v>
      </c>
      <c r="G210" s="1" t="s">
        <v>17</v>
      </c>
      <c r="H210" s="1" t="s">
        <v>17</v>
      </c>
      <c r="I210" s="3" t="str">
        <f aca="false">Feuil1!I210</f>
        <v>Skis Alpin </v>
      </c>
      <c r="J210" s="3" t="str">
        <f aca="false">Feuil1!J210</f>
        <v>Rossignol famous</v>
      </c>
      <c r="K210" s="3" t="str">
        <f aca="false">Feuil1!K210</f>
        <v>130 cm</v>
      </c>
      <c r="L210" s="3" t="n">
        <f aca="false">Feuil1!L210</f>
        <v>69</v>
      </c>
      <c r="M210" s="1" t="s">
        <v>17</v>
      </c>
      <c r="N210" s="1" t="s">
        <v>18</v>
      </c>
      <c r="O210" s="1" t="s">
        <v>19</v>
      </c>
      <c r="P210" s="4" t="n">
        <v>45973.466099537</v>
      </c>
      <c r="Q210" s="4" t="n">
        <v>45973.466099537</v>
      </c>
    </row>
    <row r="211" customFormat="false" ht="15" hidden="false" customHeight="false" outlineLevel="0" collapsed="false">
      <c r="A211" s="1" t="str">
        <f aca="false">Feuil1!H211</f>
        <v>53562</v>
      </c>
      <c r="B211" s="1" t="s">
        <v>17</v>
      </c>
      <c r="C211" s="1" t="s">
        <v>17</v>
      </c>
      <c r="D211" s="1" t="s">
        <v>17</v>
      </c>
      <c r="E211" s="1" t="s">
        <v>17</v>
      </c>
      <c r="F211" s="1" t="s">
        <v>17</v>
      </c>
      <c r="G211" s="1" t="s">
        <v>17</v>
      </c>
      <c r="H211" s="1" t="s">
        <v>17</v>
      </c>
      <c r="I211" s="3" t="str">
        <f aca="false">Feuil1!I211</f>
        <v>Skis Alpin </v>
      </c>
      <c r="J211" s="3" t="str">
        <f aca="false">Feuil1!J211</f>
        <v>Rossignol famous</v>
      </c>
      <c r="K211" s="3" t="str">
        <f aca="false">Feuil1!K211</f>
        <v>120 cm</v>
      </c>
      <c r="L211" s="3" t="n">
        <f aca="false">Feuil1!L211</f>
        <v>69</v>
      </c>
      <c r="M211" s="1" t="s">
        <v>17</v>
      </c>
      <c r="N211" s="1" t="s">
        <v>18</v>
      </c>
      <c r="O211" s="1" t="s">
        <v>19</v>
      </c>
      <c r="P211" s="4" t="n">
        <v>45973.466099537</v>
      </c>
      <c r="Q211" s="4" t="n">
        <v>45973.466099537</v>
      </c>
    </row>
    <row r="212" customFormat="false" ht="15" hidden="false" customHeight="false" outlineLevel="0" collapsed="false">
      <c r="A212" s="1" t="str">
        <f aca="false">Feuil1!H212</f>
        <v>53563</v>
      </c>
      <c r="B212" s="1" t="s">
        <v>17</v>
      </c>
      <c r="C212" s="1" t="s">
        <v>17</v>
      </c>
      <c r="D212" s="1" t="s">
        <v>17</v>
      </c>
      <c r="E212" s="1" t="s">
        <v>17</v>
      </c>
      <c r="F212" s="1" t="s">
        <v>17</v>
      </c>
      <c r="G212" s="1" t="s">
        <v>17</v>
      </c>
      <c r="H212" s="1" t="s">
        <v>17</v>
      </c>
      <c r="I212" s="3" t="str">
        <f aca="false">Feuil1!I212</f>
        <v>Skis Alpin </v>
      </c>
      <c r="J212" s="3" t="str">
        <f aca="false">Feuil1!J212</f>
        <v>Rossignol star wars</v>
      </c>
      <c r="K212" s="3" t="str">
        <f aca="false">Feuil1!K212</f>
        <v>116 cm</v>
      </c>
      <c r="L212" s="3" t="n">
        <f aca="false">Feuil1!L212</f>
        <v>55</v>
      </c>
      <c r="M212" s="1" t="s">
        <v>17</v>
      </c>
      <c r="N212" s="1" t="s">
        <v>18</v>
      </c>
      <c r="O212" s="1" t="s">
        <v>19</v>
      </c>
      <c r="P212" s="4" t="n">
        <v>45973.466099537</v>
      </c>
      <c r="Q212" s="4" t="n">
        <v>45973.466099537</v>
      </c>
    </row>
    <row r="213" customFormat="false" ht="15" hidden="false" customHeight="false" outlineLevel="0" collapsed="false">
      <c r="A213" s="1" t="str">
        <f aca="false">Feuil1!H213</f>
        <v>53564</v>
      </c>
      <c r="B213" s="1" t="s">
        <v>17</v>
      </c>
      <c r="C213" s="1" t="s">
        <v>17</v>
      </c>
      <c r="D213" s="1" t="s">
        <v>17</v>
      </c>
      <c r="E213" s="1" t="s">
        <v>17</v>
      </c>
      <c r="F213" s="1" t="s">
        <v>17</v>
      </c>
      <c r="G213" s="1" t="s">
        <v>17</v>
      </c>
      <c r="H213" s="1" t="s">
        <v>17</v>
      </c>
      <c r="I213" s="3" t="str">
        <f aca="false">Feuil1!I213</f>
        <v>Skis Alpin </v>
      </c>
      <c r="J213" s="3" t="str">
        <f aca="false">Feuil1!J213</f>
        <v>nordica jr</v>
      </c>
      <c r="K213" s="3" t="str">
        <f aca="false">Feuil1!K213</f>
        <v>130 cm</v>
      </c>
      <c r="L213" s="3" t="n">
        <f aca="false">Feuil1!L213</f>
        <v>59</v>
      </c>
      <c r="M213" s="1" t="s">
        <v>17</v>
      </c>
      <c r="N213" s="1" t="s">
        <v>18</v>
      </c>
      <c r="O213" s="1" t="s">
        <v>19</v>
      </c>
      <c r="P213" s="4" t="n">
        <v>45973.466099537</v>
      </c>
      <c r="Q213" s="4" t="n">
        <v>45973.466099537</v>
      </c>
    </row>
    <row r="214" customFormat="false" ht="15" hidden="false" customHeight="false" outlineLevel="0" collapsed="false">
      <c r="A214" s="1" t="str">
        <f aca="false">Feuil1!H214</f>
        <v>53565</v>
      </c>
      <c r="B214" s="1" t="s">
        <v>17</v>
      </c>
      <c r="C214" s="1" t="s">
        <v>17</v>
      </c>
      <c r="D214" s="1" t="s">
        <v>17</v>
      </c>
      <c r="E214" s="1" t="s">
        <v>17</v>
      </c>
      <c r="F214" s="1" t="s">
        <v>17</v>
      </c>
      <c r="G214" s="1" t="s">
        <v>17</v>
      </c>
      <c r="H214" s="1" t="s">
        <v>17</v>
      </c>
      <c r="I214" s="3" t="str">
        <f aca="false">Feuil1!I214</f>
        <v>Skis Alpin </v>
      </c>
      <c r="J214" s="3" t="str">
        <f aca="false">Feuil1!J214</f>
        <v>volkl chica</v>
      </c>
      <c r="K214" s="3" t="str">
        <f aca="false">Feuil1!K214</f>
        <v>130 cm</v>
      </c>
      <c r="L214" s="3" t="n">
        <f aca="false">Feuil1!L214</f>
        <v>49</v>
      </c>
      <c r="M214" s="1" t="s">
        <v>17</v>
      </c>
      <c r="N214" s="1" t="s">
        <v>18</v>
      </c>
      <c r="O214" s="1" t="s">
        <v>19</v>
      </c>
      <c r="P214" s="4" t="n">
        <v>45973.466099537</v>
      </c>
      <c r="Q214" s="4" t="n">
        <v>45973.466099537</v>
      </c>
    </row>
    <row r="215" customFormat="false" ht="15" hidden="false" customHeight="false" outlineLevel="0" collapsed="false">
      <c r="A215" s="1" t="str">
        <f aca="false">Feuil1!H215</f>
        <v>53566</v>
      </c>
      <c r="B215" s="1" t="s">
        <v>17</v>
      </c>
      <c r="C215" s="1" t="s">
        <v>17</v>
      </c>
      <c r="D215" s="1" t="s">
        <v>17</v>
      </c>
      <c r="E215" s="1" t="s">
        <v>17</v>
      </c>
      <c r="F215" s="1" t="s">
        <v>17</v>
      </c>
      <c r="G215" s="1" t="s">
        <v>17</v>
      </c>
      <c r="H215" s="1" t="s">
        <v>17</v>
      </c>
      <c r="I215" s="3" t="str">
        <f aca="false">Feuil1!I215</f>
        <v>Skis Alpin </v>
      </c>
      <c r="J215" s="3" t="str">
        <f aca="false">Feuil1!J215</f>
        <v>elan rc</v>
      </c>
      <c r="K215" s="3" t="str">
        <f aca="false">Feuil1!K215</f>
        <v>130 cm</v>
      </c>
      <c r="L215" s="3" t="n">
        <f aca="false">Feuil1!L215</f>
        <v>59</v>
      </c>
      <c r="M215" s="1" t="s">
        <v>17</v>
      </c>
      <c r="N215" s="1" t="s">
        <v>18</v>
      </c>
      <c r="O215" s="1" t="s">
        <v>19</v>
      </c>
      <c r="P215" s="4" t="n">
        <v>45973.466099537</v>
      </c>
      <c r="Q215" s="4" t="n">
        <v>45973.466099537</v>
      </c>
    </row>
    <row r="216" customFormat="false" ht="15" hidden="false" customHeight="false" outlineLevel="0" collapsed="false">
      <c r="A216" s="1" t="str">
        <f aca="false">Feuil1!H216</f>
        <v>53567</v>
      </c>
      <c r="B216" s="1" t="s">
        <v>17</v>
      </c>
      <c r="C216" s="1" t="s">
        <v>17</v>
      </c>
      <c r="D216" s="1" t="s">
        <v>17</v>
      </c>
      <c r="E216" s="1" t="s">
        <v>17</v>
      </c>
      <c r="F216" s="1" t="s">
        <v>17</v>
      </c>
      <c r="G216" s="1" t="s">
        <v>17</v>
      </c>
      <c r="H216" s="1" t="s">
        <v>17</v>
      </c>
      <c r="I216" s="3" t="str">
        <f aca="false">Feuil1!I216</f>
        <v>Skis Alpin </v>
      </c>
      <c r="J216" s="3" t="str">
        <f aca="false">Feuil1!J216</f>
        <v>elan rc</v>
      </c>
      <c r="K216" s="3" t="str">
        <f aca="false">Feuil1!K216</f>
        <v>130 cm</v>
      </c>
      <c r="L216" s="3" t="n">
        <f aca="false">Feuil1!L216</f>
        <v>59</v>
      </c>
      <c r="M216" s="1" t="s">
        <v>17</v>
      </c>
      <c r="N216" s="1" t="s">
        <v>18</v>
      </c>
      <c r="O216" s="1" t="s">
        <v>19</v>
      </c>
      <c r="P216" s="4" t="n">
        <v>45973.466099537</v>
      </c>
      <c r="Q216" s="4" t="n">
        <v>45973.466099537</v>
      </c>
    </row>
    <row r="217" customFormat="false" ht="15" hidden="false" customHeight="false" outlineLevel="0" collapsed="false">
      <c r="A217" s="1" t="str">
        <f aca="false">Feuil1!H217</f>
        <v>53962</v>
      </c>
      <c r="B217" s="1" t="s">
        <v>17</v>
      </c>
      <c r="C217" s="1" t="s">
        <v>17</v>
      </c>
      <c r="D217" s="1" t="s">
        <v>17</v>
      </c>
      <c r="E217" s="1" t="s">
        <v>17</v>
      </c>
      <c r="F217" s="1" t="s">
        <v>17</v>
      </c>
      <c r="G217" s="1" t="s">
        <v>17</v>
      </c>
      <c r="H217" s="1" t="s">
        <v>17</v>
      </c>
      <c r="I217" s="3" t="str">
        <f aca="false">Feuil1!I217</f>
        <v>Skis Alpin </v>
      </c>
      <c r="J217" s="3" t="str">
        <f aca="false">Feuil1!J217</f>
        <v>atomic redster </v>
      </c>
      <c r="K217" s="3" t="str">
        <f aca="false">Feuil1!K217</f>
        <v>120 cm</v>
      </c>
      <c r="L217" s="3" t="n">
        <f aca="false">Feuil1!L217</f>
        <v>59</v>
      </c>
      <c r="M217" s="1" t="s">
        <v>17</v>
      </c>
      <c r="N217" s="1" t="s">
        <v>18</v>
      </c>
      <c r="O217" s="1" t="s">
        <v>19</v>
      </c>
      <c r="P217" s="4" t="n">
        <v>45973.466099537</v>
      </c>
      <c r="Q217" s="4" t="n">
        <v>45973.466099537</v>
      </c>
    </row>
    <row r="218" customFormat="false" ht="15" hidden="false" customHeight="false" outlineLevel="0" collapsed="false">
      <c r="A218" s="1" t="str">
        <f aca="false">Feuil1!H218</f>
        <v>53963</v>
      </c>
      <c r="B218" s="1" t="s">
        <v>17</v>
      </c>
      <c r="C218" s="1" t="s">
        <v>17</v>
      </c>
      <c r="D218" s="1" t="s">
        <v>17</v>
      </c>
      <c r="E218" s="1" t="s">
        <v>17</v>
      </c>
      <c r="F218" s="1" t="s">
        <v>17</v>
      </c>
      <c r="G218" s="1" t="s">
        <v>17</v>
      </c>
      <c r="H218" s="1" t="s">
        <v>17</v>
      </c>
      <c r="I218" s="3" t="str">
        <f aca="false">Feuil1!I218</f>
        <v>Skis Alpin </v>
      </c>
      <c r="J218" s="3" t="str">
        <f aca="false">Feuil1!J218</f>
        <v>atomic redster </v>
      </c>
      <c r="K218" s="3" t="str">
        <f aca="false">Feuil1!K218</f>
        <v>120 cm</v>
      </c>
      <c r="L218" s="3" t="n">
        <f aca="false">Feuil1!L218</f>
        <v>59</v>
      </c>
      <c r="M218" s="1" t="s">
        <v>17</v>
      </c>
      <c r="N218" s="1" t="s">
        <v>18</v>
      </c>
      <c r="O218" s="1" t="s">
        <v>19</v>
      </c>
      <c r="P218" s="4" t="n">
        <v>45973.466099537</v>
      </c>
      <c r="Q218" s="4" t="n">
        <v>45973.466099537</v>
      </c>
    </row>
    <row r="219" customFormat="false" ht="15" hidden="false" customHeight="false" outlineLevel="0" collapsed="false">
      <c r="A219" s="1" t="str">
        <f aca="false">Feuil1!H219</f>
        <v>53964</v>
      </c>
      <c r="B219" s="1" t="s">
        <v>17</v>
      </c>
      <c r="C219" s="1" t="s">
        <v>17</v>
      </c>
      <c r="D219" s="1" t="s">
        <v>17</v>
      </c>
      <c r="E219" s="1" t="s">
        <v>17</v>
      </c>
      <c r="F219" s="1" t="s">
        <v>17</v>
      </c>
      <c r="G219" s="1" t="s">
        <v>17</v>
      </c>
      <c r="H219" s="1" t="s">
        <v>17</v>
      </c>
      <c r="I219" s="3" t="str">
        <f aca="false">Feuil1!I219</f>
        <v>Skis Alpin </v>
      </c>
      <c r="J219" s="3" t="str">
        <f aca="false">Feuil1!J219</f>
        <v>rossignol hero</v>
      </c>
      <c r="K219" s="3" t="str">
        <f aca="false">Feuil1!K219</f>
        <v>120 cm</v>
      </c>
      <c r="L219" s="3" t="n">
        <f aca="false">Feuil1!L219</f>
        <v>59</v>
      </c>
      <c r="M219" s="1" t="s">
        <v>17</v>
      </c>
      <c r="N219" s="1" t="s">
        <v>18</v>
      </c>
      <c r="O219" s="1" t="s">
        <v>19</v>
      </c>
      <c r="P219" s="4" t="n">
        <v>45973.466099537</v>
      </c>
      <c r="Q219" s="4" t="n">
        <v>45973.466099537</v>
      </c>
    </row>
    <row r="220" customFormat="false" ht="15" hidden="false" customHeight="false" outlineLevel="0" collapsed="false">
      <c r="A220" s="1" t="str">
        <f aca="false">Feuil1!H220</f>
        <v>53965</v>
      </c>
      <c r="B220" s="1" t="s">
        <v>17</v>
      </c>
      <c r="C220" s="1" t="s">
        <v>17</v>
      </c>
      <c r="D220" s="1" t="s">
        <v>17</v>
      </c>
      <c r="E220" s="1" t="s">
        <v>17</v>
      </c>
      <c r="F220" s="1" t="s">
        <v>17</v>
      </c>
      <c r="G220" s="1" t="s">
        <v>17</v>
      </c>
      <c r="H220" s="1" t="s">
        <v>17</v>
      </c>
      <c r="I220" s="3" t="str">
        <f aca="false">Feuil1!I220</f>
        <v>Skis Alpin </v>
      </c>
      <c r="J220" s="3" t="str">
        <f aca="false">Feuil1!J220</f>
        <v>rossignol hero</v>
      </c>
      <c r="K220" s="3" t="str">
        <f aca="false">Feuil1!K220</f>
        <v>120 cm</v>
      </c>
      <c r="L220" s="3" t="n">
        <f aca="false">Feuil1!L220</f>
        <v>59</v>
      </c>
      <c r="M220" s="1" t="s">
        <v>17</v>
      </c>
      <c r="N220" s="1" t="s">
        <v>18</v>
      </c>
      <c r="O220" s="1" t="s">
        <v>19</v>
      </c>
      <c r="P220" s="4" t="n">
        <v>45973.466099537</v>
      </c>
      <c r="Q220" s="4" t="n">
        <v>45973.466099537</v>
      </c>
    </row>
    <row r="221" customFormat="false" ht="15" hidden="false" customHeight="false" outlineLevel="0" collapsed="false">
      <c r="A221" s="1" t="str">
        <f aca="false">Feuil1!H221</f>
        <v>53966</v>
      </c>
      <c r="B221" s="1" t="s">
        <v>17</v>
      </c>
      <c r="C221" s="1" t="s">
        <v>17</v>
      </c>
      <c r="D221" s="1" t="s">
        <v>17</v>
      </c>
      <c r="E221" s="1" t="s">
        <v>17</v>
      </c>
      <c r="F221" s="1" t="s">
        <v>17</v>
      </c>
      <c r="G221" s="1" t="s">
        <v>17</v>
      </c>
      <c r="H221" s="1" t="s">
        <v>17</v>
      </c>
      <c r="I221" s="3" t="str">
        <f aca="false">Feuil1!I221</f>
        <v>Skis Alpin </v>
      </c>
      <c r="J221" s="3" t="str">
        <f aca="false">Feuil1!J221</f>
        <v>rossignol hero</v>
      </c>
      <c r="K221" s="3" t="str">
        <f aca="false">Feuil1!K221</f>
        <v>120 cm</v>
      </c>
      <c r="L221" s="3" t="n">
        <f aca="false">Feuil1!L221</f>
        <v>59</v>
      </c>
      <c r="M221" s="1" t="s">
        <v>17</v>
      </c>
      <c r="N221" s="1" t="s">
        <v>18</v>
      </c>
      <c r="O221" s="1" t="s">
        <v>19</v>
      </c>
      <c r="P221" s="4" t="n">
        <v>45973.466099537</v>
      </c>
      <c r="Q221" s="4" t="n">
        <v>45973.466099537</v>
      </c>
    </row>
    <row r="222" customFormat="false" ht="15" hidden="false" customHeight="false" outlineLevel="0" collapsed="false">
      <c r="A222" s="1" t="str">
        <f aca="false">Feuil1!H222</f>
        <v>53967</v>
      </c>
      <c r="B222" s="1" t="s">
        <v>17</v>
      </c>
      <c r="C222" s="1" t="s">
        <v>17</v>
      </c>
      <c r="D222" s="1" t="s">
        <v>17</v>
      </c>
      <c r="E222" s="1" t="s">
        <v>17</v>
      </c>
      <c r="F222" s="1" t="s">
        <v>17</v>
      </c>
      <c r="G222" s="1" t="s">
        <v>17</v>
      </c>
      <c r="H222" s="1" t="s">
        <v>17</v>
      </c>
      <c r="I222" s="3" t="str">
        <f aca="false">Feuil1!I222</f>
        <v>Skis Alpin </v>
      </c>
      <c r="J222" s="3" t="str">
        <f aca="false">Feuil1!J222</f>
        <v>rossignol hero</v>
      </c>
      <c r="K222" s="3" t="str">
        <f aca="false">Feuil1!K222</f>
        <v>120 cm</v>
      </c>
      <c r="L222" s="3" t="n">
        <f aca="false">Feuil1!L222</f>
        <v>55</v>
      </c>
      <c r="M222" s="1" t="s">
        <v>17</v>
      </c>
      <c r="N222" s="1" t="s">
        <v>18</v>
      </c>
      <c r="O222" s="1" t="s">
        <v>19</v>
      </c>
      <c r="P222" s="4" t="n">
        <v>45973.466099537</v>
      </c>
      <c r="Q222" s="4" t="n">
        <v>45973.466099537</v>
      </c>
    </row>
    <row r="223" customFormat="false" ht="15" hidden="false" customHeight="false" outlineLevel="0" collapsed="false">
      <c r="A223" s="1" t="str">
        <f aca="false">Feuil1!H223</f>
        <v>53968</v>
      </c>
      <c r="B223" s="1" t="s">
        <v>17</v>
      </c>
      <c r="C223" s="1" t="s">
        <v>17</v>
      </c>
      <c r="D223" s="1" t="s">
        <v>17</v>
      </c>
      <c r="E223" s="1" t="s">
        <v>17</v>
      </c>
      <c r="F223" s="1" t="s">
        <v>17</v>
      </c>
      <c r="G223" s="1" t="s">
        <v>17</v>
      </c>
      <c r="H223" s="1" t="s">
        <v>17</v>
      </c>
      <c r="I223" s="3" t="str">
        <f aca="false">Feuil1!I223</f>
        <v>Skis Alpin </v>
      </c>
      <c r="J223" s="3" t="str">
        <f aca="false">Feuil1!J223</f>
        <v>rossignol hero</v>
      </c>
      <c r="K223" s="3" t="str">
        <f aca="false">Feuil1!K223</f>
        <v>120 cm</v>
      </c>
      <c r="L223" s="3" t="n">
        <f aca="false">Feuil1!L223</f>
        <v>55</v>
      </c>
      <c r="M223" s="1" t="s">
        <v>17</v>
      </c>
      <c r="N223" s="1" t="s">
        <v>18</v>
      </c>
      <c r="O223" s="1" t="s">
        <v>19</v>
      </c>
      <c r="P223" s="4" t="n">
        <v>45973.466099537</v>
      </c>
      <c r="Q223" s="4" t="n">
        <v>45973.466099537</v>
      </c>
    </row>
    <row r="224" customFormat="false" ht="15" hidden="false" customHeight="false" outlineLevel="0" collapsed="false">
      <c r="A224" s="1" t="str">
        <f aca="false">Feuil1!H224</f>
        <v>53969</v>
      </c>
      <c r="B224" s="1" t="s">
        <v>17</v>
      </c>
      <c r="C224" s="1" t="s">
        <v>17</v>
      </c>
      <c r="D224" s="1" t="s">
        <v>17</v>
      </c>
      <c r="E224" s="1" t="s">
        <v>17</v>
      </c>
      <c r="F224" s="1" t="s">
        <v>17</v>
      </c>
      <c r="G224" s="1" t="s">
        <v>17</v>
      </c>
      <c r="H224" s="1" t="s">
        <v>17</v>
      </c>
      <c r="I224" s="3" t="str">
        <f aca="false">Feuil1!I224</f>
        <v>Skis Alpin </v>
      </c>
      <c r="J224" s="3" t="str">
        <f aca="false">Feuil1!J224</f>
        <v>rossignol hero</v>
      </c>
      <c r="K224" s="3" t="str">
        <f aca="false">Feuil1!K224</f>
        <v>120 cm</v>
      </c>
      <c r="L224" s="3" t="n">
        <f aca="false">Feuil1!L224</f>
        <v>55</v>
      </c>
      <c r="M224" s="1" t="s">
        <v>17</v>
      </c>
      <c r="N224" s="1" t="s">
        <v>18</v>
      </c>
      <c r="O224" s="1" t="s">
        <v>19</v>
      </c>
      <c r="P224" s="4" t="n">
        <v>45973.466099537</v>
      </c>
      <c r="Q224" s="4" t="n">
        <v>45973.466099537</v>
      </c>
    </row>
    <row r="225" customFormat="false" ht="15" hidden="false" customHeight="false" outlineLevel="0" collapsed="false">
      <c r="A225" s="1" t="str">
        <f aca="false">Feuil1!H225</f>
        <v>53970</v>
      </c>
      <c r="B225" s="1" t="s">
        <v>17</v>
      </c>
      <c r="C225" s="1" t="s">
        <v>17</v>
      </c>
      <c r="D225" s="1" t="s">
        <v>17</v>
      </c>
      <c r="E225" s="1" t="s">
        <v>17</v>
      </c>
      <c r="F225" s="1" t="s">
        <v>17</v>
      </c>
      <c r="G225" s="1" t="s">
        <v>17</v>
      </c>
      <c r="H225" s="1" t="s">
        <v>17</v>
      </c>
      <c r="I225" s="3" t="str">
        <f aca="false">Feuil1!I225</f>
        <v>Skis Alpin </v>
      </c>
      <c r="J225" s="3" t="str">
        <f aca="false">Feuil1!J225</f>
        <v>rossignol hero</v>
      </c>
      <c r="K225" s="3" t="str">
        <f aca="false">Feuil1!K225</f>
        <v>120 cm</v>
      </c>
      <c r="L225" s="3" t="n">
        <f aca="false">Feuil1!L225</f>
        <v>55</v>
      </c>
      <c r="M225" s="1" t="s">
        <v>17</v>
      </c>
      <c r="N225" s="1" t="s">
        <v>18</v>
      </c>
      <c r="O225" s="1" t="s">
        <v>19</v>
      </c>
      <c r="P225" s="4" t="n">
        <v>45973.466099537</v>
      </c>
      <c r="Q225" s="4" t="n">
        <v>45973.466099537</v>
      </c>
    </row>
    <row r="226" customFormat="false" ht="15" hidden="false" customHeight="false" outlineLevel="0" collapsed="false">
      <c r="A226" s="1" t="str">
        <f aca="false">Feuil1!H226</f>
        <v>53971</v>
      </c>
      <c r="B226" s="1" t="s">
        <v>17</v>
      </c>
      <c r="C226" s="1" t="s">
        <v>17</v>
      </c>
      <c r="D226" s="1" t="s">
        <v>17</v>
      </c>
      <c r="E226" s="1" t="s">
        <v>17</v>
      </c>
      <c r="F226" s="1" t="s">
        <v>17</v>
      </c>
      <c r="G226" s="1" t="s">
        <v>17</v>
      </c>
      <c r="H226" s="1" t="s">
        <v>17</v>
      </c>
      <c r="I226" s="3" t="str">
        <f aca="false">Feuil1!I226</f>
        <v>Skis Alpin </v>
      </c>
      <c r="J226" s="3" t="str">
        <f aca="false">Feuil1!J226</f>
        <v>rossignol star wars</v>
      </c>
      <c r="K226" s="3" t="str">
        <f aca="false">Feuil1!K226</f>
        <v>120 cm</v>
      </c>
      <c r="L226" s="3" t="n">
        <f aca="false">Feuil1!L226</f>
        <v>55</v>
      </c>
      <c r="M226" s="1" t="s">
        <v>17</v>
      </c>
      <c r="N226" s="1" t="s">
        <v>18</v>
      </c>
      <c r="O226" s="1" t="s">
        <v>19</v>
      </c>
      <c r="P226" s="4" t="n">
        <v>45973.466099537</v>
      </c>
      <c r="Q226" s="4" t="n">
        <v>45973.466099537</v>
      </c>
    </row>
    <row r="227" customFormat="false" ht="15" hidden="false" customHeight="false" outlineLevel="0" collapsed="false">
      <c r="A227" s="1" t="str">
        <f aca="false">Feuil1!H227</f>
        <v>53972</v>
      </c>
      <c r="B227" s="1" t="s">
        <v>17</v>
      </c>
      <c r="C227" s="1" t="s">
        <v>17</v>
      </c>
      <c r="D227" s="1" t="s">
        <v>17</v>
      </c>
      <c r="E227" s="1" t="s">
        <v>17</v>
      </c>
      <c r="F227" s="1" t="s">
        <v>17</v>
      </c>
      <c r="G227" s="1" t="s">
        <v>17</v>
      </c>
      <c r="H227" s="1" t="s">
        <v>17</v>
      </c>
      <c r="I227" s="3" t="str">
        <f aca="false">Feuil1!I227</f>
        <v>Skis Alpin </v>
      </c>
      <c r="J227" s="3" t="str">
        <f aca="false">Feuil1!J227</f>
        <v>dynastar speed</v>
      </c>
      <c r="K227" s="3" t="str">
        <f aca="false">Feuil1!K227</f>
        <v>120 cm</v>
      </c>
      <c r="L227" s="3" t="n">
        <f aca="false">Feuil1!L227</f>
        <v>59</v>
      </c>
      <c r="M227" s="1" t="s">
        <v>17</v>
      </c>
      <c r="N227" s="1" t="s">
        <v>18</v>
      </c>
      <c r="O227" s="1" t="s">
        <v>19</v>
      </c>
      <c r="P227" s="4" t="n">
        <v>45973.466099537</v>
      </c>
      <c r="Q227" s="4" t="n">
        <v>45973.466099537</v>
      </c>
    </row>
    <row r="228" customFormat="false" ht="15" hidden="false" customHeight="false" outlineLevel="0" collapsed="false">
      <c r="A228" s="1" t="str">
        <f aca="false">Feuil1!H228</f>
        <v>53973</v>
      </c>
      <c r="B228" s="1" t="s">
        <v>17</v>
      </c>
      <c r="C228" s="1" t="s">
        <v>17</v>
      </c>
      <c r="D228" s="1" t="s">
        <v>17</v>
      </c>
      <c r="E228" s="1" t="s">
        <v>17</v>
      </c>
      <c r="F228" s="1" t="s">
        <v>17</v>
      </c>
      <c r="G228" s="1" t="s">
        <v>17</v>
      </c>
      <c r="H228" s="1" t="s">
        <v>17</v>
      </c>
      <c r="I228" s="3" t="str">
        <f aca="false">Feuil1!I228</f>
        <v>Skis Alpin </v>
      </c>
      <c r="J228" s="3" t="str">
        <f aca="false">Feuil1!J228</f>
        <v>dynastar speed</v>
      </c>
      <c r="K228" s="3" t="str">
        <f aca="false">Feuil1!K228</f>
        <v>120 cm</v>
      </c>
      <c r="L228" s="3" t="n">
        <f aca="false">Feuil1!L228</f>
        <v>59</v>
      </c>
      <c r="M228" s="1" t="s">
        <v>17</v>
      </c>
      <c r="N228" s="1" t="s">
        <v>18</v>
      </c>
      <c r="O228" s="1" t="s">
        <v>19</v>
      </c>
      <c r="P228" s="4" t="n">
        <v>45973.466099537</v>
      </c>
      <c r="Q228" s="4" t="n">
        <v>45973.466099537</v>
      </c>
    </row>
    <row r="229" customFormat="false" ht="15" hidden="false" customHeight="false" outlineLevel="0" collapsed="false">
      <c r="A229" s="1" t="str">
        <f aca="false">Feuil1!H229</f>
        <v>53974</v>
      </c>
      <c r="B229" s="1" t="s">
        <v>17</v>
      </c>
      <c r="C229" s="1" t="s">
        <v>17</v>
      </c>
      <c r="D229" s="1" t="s">
        <v>17</v>
      </c>
      <c r="E229" s="1" t="s">
        <v>17</v>
      </c>
      <c r="F229" s="1" t="s">
        <v>17</v>
      </c>
      <c r="G229" s="1" t="s">
        <v>17</v>
      </c>
      <c r="H229" s="1" t="s">
        <v>17</v>
      </c>
      <c r="I229" s="3" t="str">
        <f aca="false">Feuil1!I229</f>
        <v>Skis Alpin </v>
      </c>
      <c r="J229" s="3" t="str">
        <f aca="false">Feuil1!J229</f>
        <v>dynastar legend</v>
      </c>
      <c r="K229" s="3" t="str">
        <f aca="false">Feuil1!K229</f>
        <v>120 cm</v>
      </c>
      <c r="L229" s="3" t="n">
        <f aca="false">Feuil1!L229</f>
        <v>59</v>
      </c>
      <c r="M229" s="1" t="s">
        <v>17</v>
      </c>
      <c r="N229" s="1" t="s">
        <v>18</v>
      </c>
      <c r="O229" s="1" t="s">
        <v>19</v>
      </c>
      <c r="P229" s="4" t="n">
        <v>45973.466099537</v>
      </c>
      <c r="Q229" s="4" t="n">
        <v>45973.466099537</v>
      </c>
    </row>
    <row r="230" customFormat="false" ht="15" hidden="false" customHeight="false" outlineLevel="0" collapsed="false">
      <c r="A230" s="1" t="str">
        <f aca="false">Feuil1!H230</f>
        <v>53975</v>
      </c>
      <c r="B230" s="1" t="s">
        <v>17</v>
      </c>
      <c r="C230" s="1" t="s">
        <v>17</v>
      </c>
      <c r="D230" s="1" t="s">
        <v>17</v>
      </c>
      <c r="E230" s="1" t="s">
        <v>17</v>
      </c>
      <c r="F230" s="1" t="s">
        <v>17</v>
      </c>
      <c r="G230" s="1" t="s">
        <v>17</v>
      </c>
      <c r="H230" s="1" t="s">
        <v>17</v>
      </c>
      <c r="I230" s="3" t="str">
        <f aca="false">Feuil1!I230</f>
        <v>Skis Alpin </v>
      </c>
      <c r="J230" s="3" t="str">
        <f aca="false">Feuil1!J230</f>
        <v>dynastar legend</v>
      </c>
      <c r="K230" s="3" t="str">
        <f aca="false">Feuil1!K230</f>
        <v>120 cm</v>
      </c>
      <c r="L230" s="3" t="n">
        <f aca="false">Feuil1!L230</f>
        <v>59</v>
      </c>
      <c r="M230" s="1" t="s">
        <v>17</v>
      </c>
      <c r="N230" s="1" t="s">
        <v>18</v>
      </c>
      <c r="O230" s="1" t="s">
        <v>19</v>
      </c>
      <c r="P230" s="4" t="n">
        <v>45973.466099537</v>
      </c>
      <c r="Q230" s="4" t="n">
        <v>45973.466099537</v>
      </c>
    </row>
    <row r="231" customFormat="false" ht="15" hidden="false" customHeight="false" outlineLevel="0" collapsed="false">
      <c r="A231" s="1" t="str">
        <f aca="false">Feuil1!H231</f>
        <v>53976</v>
      </c>
      <c r="B231" s="1" t="s">
        <v>17</v>
      </c>
      <c r="C231" s="1" t="s">
        <v>17</v>
      </c>
      <c r="D231" s="1" t="s">
        <v>17</v>
      </c>
      <c r="E231" s="1" t="s">
        <v>17</v>
      </c>
      <c r="F231" s="1" t="s">
        <v>17</v>
      </c>
      <c r="G231" s="1" t="s">
        <v>17</v>
      </c>
      <c r="H231" s="1" t="s">
        <v>17</v>
      </c>
      <c r="I231" s="3" t="str">
        <f aca="false">Feuil1!I231</f>
        <v>Skis Alpin </v>
      </c>
      <c r="J231" s="3" t="str">
        <f aca="false">Feuil1!J231</f>
        <v>dynastar legend</v>
      </c>
      <c r="K231" s="3" t="str">
        <f aca="false">Feuil1!K231</f>
        <v>120 cm</v>
      </c>
      <c r="L231" s="3" t="n">
        <f aca="false">Feuil1!L231</f>
        <v>59</v>
      </c>
      <c r="M231" s="1" t="s">
        <v>17</v>
      </c>
      <c r="N231" s="1" t="s">
        <v>18</v>
      </c>
      <c r="O231" s="1" t="s">
        <v>19</v>
      </c>
      <c r="P231" s="4" t="n">
        <v>45973.466099537</v>
      </c>
      <c r="Q231" s="4" t="n">
        <v>45973.466099537</v>
      </c>
    </row>
    <row r="232" customFormat="false" ht="15" hidden="false" customHeight="false" outlineLevel="0" collapsed="false">
      <c r="A232" s="1" t="str">
        <f aca="false">Feuil1!H232</f>
        <v>53977</v>
      </c>
      <c r="B232" s="1" t="s">
        <v>17</v>
      </c>
      <c r="C232" s="1" t="s">
        <v>17</v>
      </c>
      <c r="D232" s="1" t="s">
        <v>17</v>
      </c>
      <c r="E232" s="1" t="s">
        <v>17</v>
      </c>
      <c r="F232" s="1" t="s">
        <v>17</v>
      </c>
      <c r="G232" s="1" t="s">
        <v>17</v>
      </c>
      <c r="H232" s="1" t="s">
        <v>17</v>
      </c>
      <c r="I232" s="3" t="str">
        <f aca="false">Feuil1!I232</f>
        <v>Skis Alpin </v>
      </c>
      <c r="J232" s="3" t="str">
        <f aca="false">Feuil1!J232</f>
        <v>blizzard bonafide</v>
      </c>
      <c r="K232" s="3" t="str">
        <f aca="false">Feuil1!K232</f>
        <v>120 cm</v>
      </c>
      <c r="L232" s="3" t="n">
        <f aca="false">Feuil1!L232</f>
        <v>55</v>
      </c>
      <c r="M232" s="1" t="s">
        <v>17</v>
      </c>
      <c r="N232" s="1" t="s">
        <v>18</v>
      </c>
      <c r="O232" s="1" t="s">
        <v>19</v>
      </c>
      <c r="P232" s="4" t="n">
        <v>45973.466099537</v>
      </c>
      <c r="Q232" s="4" t="n">
        <v>45973.466099537</v>
      </c>
    </row>
    <row r="233" customFormat="false" ht="15" hidden="false" customHeight="false" outlineLevel="0" collapsed="false">
      <c r="A233" s="1" t="str">
        <f aca="false">Feuil1!H233</f>
        <v>53978</v>
      </c>
      <c r="B233" s="1" t="s">
        <v>17</v>
      </c>
      <c r="C233" s="1" t="s">
        <v>17</v>
      </c>
      <c r="D233" s="1" t="s">
        <v>17</v>
      </c>
      <c r="E233" s="1" t="s">
        <v>17</v>
      </c>
      <c r="F233" s="1" t="s">
        <v>17</v>
      </c>
      <c r="G233" s="1" t="s">
        <v>17</v>
      </c>
      <c r="H233" s="1" t="s">
        <v>17</v>
      </c>
      <c r="I233" s="3" t="str">
        <f aca="false">Feuil1!I233</f>
        <v>Skis Alpin </v>
      </c>
      <c r="J233" s="3" t="str">
        <f aca="false">Feuil1!J233</f>
        <v>scott stuf</v>
      </c>
      <c r="K233" s="3" t="str">
        <f aca="false">Feuil1!K233</f>
        <v>120 cm</v>
      </c>
      <c r="L233" s="3" t="n">
        <f aca="false">Feuil1!L233</f>
        <v>49</v>
      </c>
      <c r="M233" s="1" t="s">
        <v>17</v>
      </c>
      <c r="N233" s="1" t="s">
        <v>18</v>
      </c>
      <c r="O233" s="1" t="s">
        <v>19</v>
      </c>
      <c r="P233" s="4" t="n">
        <v>45973.466099537</v>
      </c>
      <c r="Q233" s="4" t="n">
        <v>45973.466099537</v>
      </c>
    </row>
    <row r="234" customFormat="false" ht="15" hidden="false" customHeight="false" outlineLevel="0" collapsed="false">
      <c r="A234" s="1" t="str">
        <f aca="false">Feuil1!H234</f>
        <v>53979</v>
      </c>
      <c r="B234" s="1" t="s">
        <v>17</v>
      </c>
      <c r="C234" s="1" t="s">
        <v>17</v>
      </c>
      <c r="D234" s="1" t="s">
        <v>17</v>
      </c>
      <c r="E234" s="1" t="s">
        <v>17</v>
      </c>
      <c r="F234" s="1" t="s">
        <v>17</v>
      </c>
      <c r="G234" s="1" t="s">
        <v>17</v>
      </c>
      <c r="H234" s="1" t="s">
        <v>17</v>
      </c>
      <c r="I234" s="3" t="str">
        <f aca="false">Feuil1!I234</f>
        <v>Skis Alpin </v>
      </c>
      <c r="J234" s="3" t="str">
        <f aca="false">Feuil1!J234</f>
        <v>fisher rc4</v>
      </c>
      <c r="K234" s="3" t="str">
        <f aca="false">Feuil1!K234</f>
        <v>120 cm</v>
      </c>
      <c r="L234" s="3" t="n">
        <f aca="false">Feuil1!L234</f>
        <v>49</v>
      </c>
      <c r="M234" s="1" t="s">
        <v>17</v>
      </c>
      <c r="N234" s="1" t="s">
        <v>18</v>
      </c>
      <c r="O234" s="1" t="s">
        <v>19</v>
      </c>
      <c r="P234" s="4" t="n">
        <v>45973.466099537</v>
      </c>
      <c r="Q234" s="4" t="n">
        <v>45973.466099537</v>
      </c>
    </row>
    <row r="235" customFormat="false" ht="15" hidden="false" customHeight="false" outlineLevel="0" collapsed="false">
      <c r="A235" s="1" t="str">
        <f aca="false">Feuil1!H235</f>
        <v>53980</v>
      </c>
      <c r="B235" s="1" t="s">
        <v>17</v>
      </c>
      <c r="C235" s="1" t="s">
        <v>17</v>
      </c>
      <c r="D235" s="1" t="s">
        <v>17</v>
      </c>
      <c r="E235" s="1" t="s">
        <v>17</v>
      </c>
      <c r="F235" s="1" t="s">
        <v>17</v>
      </c>
      <c r="G235" s="1" t="s">
        <v>17</v>
      </c>
      <c r="H235" s="1" t="s">
        <v>17</v>
      </c>
      <c r="I235" s="3" t="str">
        <f aca="false">Feuil1!I235</f>
        <v>Skis Alpin </v>
      </c>
      <c r="J235" s="3" t="str">
        <f aca="false">Feuil1!J235</f>
        <v>atomic vantage</v>
      </c>
      <c r="K235" s="3" t="str">
        <f aca="false">Feuil1!K235</f>
        <v>120 cm</v>
      </c>
      <c r="L235" s="3" t="n">
        <f aca="false">Feuil1!L235</f>
        <v>55</v>
      </c>
      <c r="M235" s="1" t="s">
        <v>17</v>
      </c>
      <c r="N235" s="1" t="s">
        <v>18</v>
      </c>
      <c r="O235" s="1" t="s">
        <v>19</v>
      </c>
      <c r="P235" s="4" t="n">
        <v>45973.466099537</v>
      </c>
      <c r="Q235" s="4" t="n">
        <v>45973.466099537</v>
      </c>
    </row>
    <row r="236" customFormat="false" ht="15" hidden="false" customHeight="false" outlineLevel="0" collapsed="false">
      <c r="A236" s="1" t="str">
        <f aca="false">Feuil1!H236</f>
        <v>53981</v>
      </c>
      <c r="B236" s="1" t="s">
        <v>17</v>
      </c>
      <c r="C236" s="1" t="s">
        <v>17</v>
      </c>
      <c r="D236" s="1" t="s">
        <v>17</v>
      </c>
      <c r="E236" s="1" t="s">
        <v>17</v>
      </c>
      <c r="F236" s="1" t="s">
        <v>17</v>
      </c>
      <c r="G236" s="1" t="s">
        <v>17</v>
      </c>
      <c r="H236" s="1" t="s">
        <v>17</v>
      </c>
      <c r="I236" s="3" t="str">
        <f aca="false">Feuil1!I236</f>
        <v>Skis Alpin </v>
      </c>
      <c r="J236" s="3" t="str">
        <f aca="false">Feuil1!J236</f>
        <v>atomic vantage</v>
      </c>
      <c r="K236" s="3" t="str">
        <f aca="false">Feuil1!K236</f>
        <v>120 cm</v>
      </c>
      <c r="L236" s="3" t="n">
        <f aca="false">Feuil1!L236</f>
        <v>55</v>
      </c>
      <c r="M236" s="1" t="s">
        <v>17</v>
      </c>
      <c r="N236" s="1" t="s">
        <v>18</v>
      </c>
      <c r="O236" s="1" t="s">
        <v>19</v>
      </c>
      <c r="P236" s="4" t="n">
        <v>45973.466099537</v>
      </c>
      <c r="Q236" s="4" t="n">
        <v>45973.466099537</v>
      </c>
    </row>
    <row r="237" customFormat="false" ht="15" hidden="false" customHeight="false" outlineLevel="0" collapsed="false">
      <c r="A237" s="1" t="str">
        <f aca="false">Feuil1!H237</f>
        <v>53982</v>
      </c>
      <c r="B237" s="1" t="s">
        <v>17</v>
      </c>
      <c r="C237" s="1" t="s">
        <v>17</v>
      </c>
      <c r="D237" s="1" t="s">
        <v>17</v>
      </c>
      <c r="E237" s="1" t="s">
        <v>17</v>
      </c>
      <c r="F237" s="1" t="s">
        <v>17</v>
      </c>
      <c r="G237" s="1" t="s">
        <v>17</v>
      </c>
      <c r="H237" s="1" t="s">
        <v>17</v>
      </c>
      <c r="I237" s="3" t="str">
        <f aca="false">Feuil1!I237</f>
        <v>Skis Alpin </v>
      </c>
      <c r="J237" s="3" t="str">
        <f aca="false">Feuil1!J237</f>
        <v>dynastar comp</v>
      </c>
      <c r="K237" s="3" t="str">
        <f aca="false">Feuil1!K237</f>
        <v>110 cm</v>
      </c>
      <c r="L237" s="3" t="n">
        <f aca="false">Feuil1!L237</f>
        <v>55</v>
      </c>
      <c r="M237" s="1" t="s">
        <v>17</v>
      </c>
      <c r="N237" s="1" t="s">
        <v>18</v>
      </c>
      <c r="O237" s="1" t="s">
        <v>19</v>
      </c>
      <c r="P237" s="4" t="n">
        <v>45973.466099537</v>
      </c>
      <c r="Q237" s="4" t="n">
        <v>45973.466099537</v>
      </c>
    </row>
    <row r="238" customFormat="false" ht="15" hidden="false" customHeight="false" outlineLevel="0" collapsed="false">
      <c r="A238" s="1" t="str">
        <f aca="false">Feuil1!H238</f>
        <v>53983</v>
      </c>
      <c r="B238" s="1" t="s">
        <v>17</v>
      </c>
      <c r="C238" s="1" t="s">
        <v>17</v>
      </c>
      <c r="D238" s="1" t="s">
        <v>17</v>
      </c>
      <c r="E238" s="1" t="s">
        <v>17</v>
      </c>
      <c r="F238" s="1" t="s">
        <v>17</v>
      </c>
      <c r="G238" s="1" t="s">
        <v>17</v>
      </c>
      <c r="H238" s="1" t="s">
        <v>17</v>
      </c>
      <c r="I238" s="3" t="str">
        <f aca="false">Feuil1!I238</f>
        <v>Skis Alpin </v>
      </c>
      <c r="J238" s="3" t="str">
        <f aca="false">Feuil1!J238</f>
        <v>dynastar team</v>
      </c>
      <c r="K238" s="3" t="str">
        <f aca="false">Feuil1!K238</f>
        <v>110 cm</v>
      </c>
      <c r="L238" s="3" t="n">
        <f aca="false">Feuil1!L238</f>
        <v>49</v>
      </c>
      <c r="M238" s="1" t="s">
        <v>17</v>
      </c>
      <c r="N238" s="1" t="s">
        <v>18</v>
      </c>
      <c r="O238" s="1" t="s">
        <v>19</v>
      </c>
      <c r="P238" s="4" t="n">
        <v>45973.466099537</v>
      </c>
      <c r="Q238" s="4" t="n">
        <v>45973.466099537</v>
      </c>
    </row>
    <row r="239" customFormat="false" ht="15" hidden="false" customHeight="false" outlineLevel="0" collapsed="false">
      <c r="A239" s="1" t="str">
        <f aca="false">Feuil1!H239</f>
        <v>53984</v>
      </c>
      <c r="B239" s="1" t="s">
        <v>17</v>
      </c>
      <c r="C239" s="1" t="s">
        <v>17</v>
      </c>
      <c r="D239" s="1" t="s">
        <v>17</v>
      </c>
      <c r="E239" s="1" t="s">
        <v>17</v>
      </c>
      <c r="F239" s="1" t="s">
        <v>17</v>
      </c>
      <c r="G239" s="1" t="s">
        <v>17</v>
      </c>
      <c r="H239" s="1" t="s">
        <v>17</v>
      </c>
      <c r="I239" s="3" t="str">
        <f aca="false">Feuil1!I239</f>
        <v>Skis Alpin </v>
      </c>
      <c r="J239" s="3" t="str">
        <f aca="false">Feuil1!J239</f>
        <v>dynastar team</v>
      </c>
      <c r="K239" s="3" t="str">
        <f aca="false">Feuil1!K239</f>
        <v>110 cm</v>
      </c>
      <c r="L239" s="3" t="n">
        <f aca="false">Feuil1!L239</f>
        <v>49</v>
      </c>
      <c r="M239" s="1" t="s">
        <v>17</v>
      </c>
      <c r="N239" s="1" t="s">
        <v>18</v>
      </c>
      <c r="O239" s="1" t="s">
        <v>19</v>
      </c>
      <c r="P239" s="4" t="n">
        <v>45973.466099537</v>
      </c>
      <c r="Q239" s="4" t="n">
        <v>45973.466099537</v>
      </c>
    </row>
    <row r="240" customFormat="false" ht="15" hidden="false" customHeight="false" outlineLevel="0" collapsed="false">
      <c r="A240" s="1" t="str">
        <f aca="false">Feuil1!H240</f>
        <v>53985</v>
      </c>
      <c r="B240" s="1" t="s">
        <v>17</v>
      </c>
      <c r="C240" s="1" t="s">
        <v>17</v>
      </c>
      <c r="D240" s="1" t="s">
        <v>17</v>
      </c>
      <c r="E240" s="1" t="s">
        <v>17</v>
      </c>
      <c r="F240" s="1" t="s">
        <v>17</v>
      </c>
      <c r="G240" s="1" t="s">
        <v>17</v>
      </c>
      <c r="H240" s="1" t="s">
        <v>17</v>
      </c>
      <c r="I240" s="3" t="str">
        <f aca="false">Feuil1!I240</f>
        <v>Skis Alpin </v>
      </c>
      <c r="J240" s="3" t="str">
        <f aca="false">Feuil1!J240</f>
        <v>volkl team</v>
      </c>
      <c r="K240" s="3" t="str">
        <f aca="false">Feuil1!K240</f>
        <v>110 cm</v>
      </c>
      <c r="L240" s="3" t="n">
        <f aca="false">Feuil1!L240</f>
        <v>49</v>
      </c>
      <c r="M240" s="1" t="s">
        <v>17</v>
      </c>
      <c r="N240" s="1" t="s">
        <v>18</v>
      </c>
      <c r="O240" s="1" t="s">
        <v>19</v>
      </c>
      <c r="P240" s="4" t="n">
        <v>45973.466099537</v>
      </c>
      <c r="Q240" s="4" t="n">
        <v>45973.466099537</v>
      </c>
    </row>
    <row r="241" customFormat="false" ht="15" hidden="false" customHeight="false" outlineLevel="0" collapsed="false">
      <c r="A241" s="1" t="str">
        <f aca="false">Feuil1!H241</f>
        <v>53986</v>
      </c>
      <c r="B241" s="1" t="s">
        <v>17</v>
      </c>
      <c r="C241" s="1" t="s">
        <v>17</v>
      </c>
      <c r="D241" s="1" t="s">
        <v>17</v>
      </c>
      <c r="E241" s="1" t="s">
        <v>17</v>
      </c>
      <c r="F241" s="1" t="s">
        <v>17</v>
      </c>
      <c r="G241" s="1" t="s">
        <v>17</v>
      </c>
      <c r="H241" s="1" t="s">
        <v>17</v>
      </c>
      <c r="I241" s="3" t="str">
        <f aca="false">Feuil1!I241</f>
        <v>Skis Alpin </v>
      </c>
      <c r="J241" s="3" t="str">
        <f aca="false">Feuil1!J241</f>
        <v>k2 indy</v>
      </c>
      <c r="K241" s="3" t="str">
        <f aca="false">Feuil1!K241</f>
        <v>112 cm</v>
      </c>
      <c r="L241" s="3" t="n">
        <f aca="false">Feuil1!L241</f>
        <v>49</v>
      </c>
      <c r="M241" s="1" t="s">
        <v>17</v>
      </c>
      <c r="N241" s="1" t="s">
        <v>18</v>
      </c>
      <c r="O241" s="1" t="s">
        <v>19</v>
      </c>
      <c r="P241" s="4" t="n">
        <v>45973.466099537</v>
      </c>
      <c r="Q241" s="4" t="n">
        <v>45973.466099537</v>
      </c>
    </row>
    <row r="242" customFormat="false" ht="15" hidden="false" customHeight="false" outlineLevel="0" collapsed="false">
      <c r="A242" s="1" t="str">
        <f aca="false">Feuil1!H242</f>
        <v>53987</v>
      </c>
      <c r="B242" s="1" t="s">
        <v>17</v>
      </c>
      <c r="C242" s="1" t="s">
        <v>17</v>
      </c>
      <c r="D242" s="1" t="s">
        <v>17</v>
      </c>
      <c r="E242" s="1" t="s">
        <v>17</v>
      </c>
      <c r="F242" s="1" t="s">
        <v>17</v>
      </c>
      <c r="G242" s="1" t="s">
        <v>17</v>
      </c>
      <c r="H242" s="1" t="s">
        <v>17</v>
      </c>
      <c r="I242" s="3" t="str">
        <f aca="false">Feuil1!I242</f>
        <v>Skis Alpin </v>
      </c>
      <c r="J242" s="3" t="str">
        <f aca="false">Feuil1!J242</f>
        <v>rossignol hero</v>
      </c>
      <c r="K242" s="3" t="str">
        <f aca="false">Feuil1!K242</f>
        <v>110 cm</v>
      </c>
      <c r="L242" s="3" t="n">
        <f aca="false">Feuil1!L242</f>
        <v>55</v>
      </c>
      <c r="M242" s="1" t="s">
        <v>17</v>
      </c>
      <c r="N242" s="1" t="s">
        <v>18</v>
      </c>
      <c r="O242" s="1" t="s">
        <v>19</v>
      </c>
      <c r="P242" s="4" t="n">
        <v>45973.466099537</v>
      </c>
      <c r="Q242" s="4" t="n">
        <v>45973.466099537</v>
      </c>
    </row>
    <row r="243" customFormat="false" ht="15" hidden="false" customHeight="false" outlineLevel="0" collapsed="false">
      <c r="A243" s="1" t="str">
        <f aca="false">Feuil1!H243</f>
        <v>53988</v>
      </c>
      <c r="B243" s="1" t="s">
        <v>17</v>
      </c>
      <c r="C243" s="1" t="s">
        <v>17</v>
      </c>
      <c r="D243" s="1" t="s">
        <v>17</v>
      </c>
      <c r="E243" s="1" t="s">
        <v>17</v>
      </c>
      <c r="F243" s="1" t="s">
        <v>17</v>
      </c>
      <c r="G243" s="1" t="s">
        <v>17</v>
      </c>
      <c r="H243" s="1" t="s">
        <v>17</v>
      </c>
      <c r="I243" s="3" t="str">
        <f aca="false">Feuil1!I243</f>
        <v>Skis Alpin </v>
      </c>
      <c r="J243" s="3" t="str">
        <f aca="false">Feuil1!J243</f>
        <v>rossignol hero</v>
      </c>
      <c r="K243" s="3" t="str">
        <f aca="false">Feuil1!K243</f>
        <v>110 cm</v>
      </c>
      <c r="L243" s="3" t="n">
        <f aca="false">Feuil1!L243</f>
        <v>55</v>
      </c>
      <c r="M243" s="1" t="s">
        <v>17</v>
      </c>
      <c r="N243" s="1" t="s">
        <v>18</v>
      </c>
      <c r="O243" s="1" t="s">
        <v>19</v>
      </c>
      <c r="P243" s="4" t="n">
        <v>45973.466099537</v>
      </c>
      <c r="Q243" s="4" t="n">
        <v>45973.466099537</v>
      </c>
    </row>
    <row r="244" customFormat="false" ht="15" hidden="false" customHeight="false" outlineLevel="0" collapsed="false">
      <c r="A244" s="1" t="str">
        <f aca="false">Feuil1!H244</f>
        <v>53989</v>
      </c>
      <c r="B244" s="1" t="s">
        <v>17</v>
      </c>
      <c r="C244" s="1" t="s">
        <v>17</v>
      </c>
      <c r="D244" s="1" t="s">
        <v>17</v>
      </c>
      <c r="E244" s="1" t="s">
        <v>17</v>
      </c>
      <c r="F244" s="1" t="s">
        <v>17</v>
      </c>
      <c r="G244" s="1" t="s">
        <v>17</v>
      </c>
      <c r="H244" s="1" t="s">
        <v>17</v>
      </c>
      <c r="I244" s="3" t="str">
        <f aca="false">Feuil1!I244</f>
        <v>Skis Alpin </v>
      </c>
      <c r="J244" s="3" t="str">
        <f aca="false">Feuil1!J244</f>
        <v>rossignol hero</v>
      </c>
      <c r="K244" s="3" t="str">
        <f aca="false">Feuil1!K244</f>
        <v>110 cm</v>
      </c>
      <c r="L244" s="3" t="n">
        <f aca="false">Feuil1!L244</f>
        <v>55</v>
      </c>
      <c r="M244" s="1" t="s">
        <v>17</v>
      </c>
      <c r="N244" s="1" t="s">
        <v>18</v>
      </c>
      <c r="O244" s="1" t="s">
        <v>19</v>
      </c>
      <c r="P244" s="4" t="n">
        <v>45973.466099537</v>
      </c>
      <c r="Q244" s="4" t="n">
        <v>45973.466099537</v>
      </c>
    </row>
    <row r="245" customFormat="false" ht="15" hidden="false" customHeight="false" outlineLevel="0" collapsed="false">
      <c r="A245" s="1" t="str">
        <f aca="false">Feuil1!H245</f>
        <v>53990</v>
      </c>
      <c r="B245" s="1" t="s">
        <v>17</v>
      </c>
      <c r="C245" s="1" t="s">
        <v>17</v>
      </c>
      <c r="D245" s="1" t="s">
        <v>17</v>
      </c>
      <c r="E245" s="1" t="s">
        <v>17</v>
      </c>
      <c r="F245" s="1" t="s">
        <v>17</v>
      </c>
      <c r="G245" s="1" t="s">
        <v>17</v>
      </c>
      <c r="H245" s="1" t="s">
        <v>17</v>
      </c>
      <c r="I245" s="3" t="str">
        <f aca="false">Feuil1!I245</f>
        <v>Skis Alpin </v>
      </c>
      <c r="J245" s="3" t="str">
        <f aca="false">Feuil1!J245</f>
        <v>rossignol fun girl</v>
      </c>
      <c r="K245" s="3" t="str">
        <f aca="false">Feuil1!K245</f>
        <v>110 cm</v>
      </c>
      <c r="L245" s="3" t="n">
        <f aca="false">Feuil1!L245</f>
        <v>55</v>
      </c>
      <c r="M245" s="1" t="s">
        <v>17</v>
      </c>
      <c r="N245" s="1" t="s">
        <v>18</v>
      </c>
      <c r="O245" s="1" t="s">
        <v>19</v>
      </c>
      <c r="P245" s="4" t="n">
        <v>45973.466099537</v>
      </c>
      <c r="Q245" s="4" t="n">
        <v>45973.466099537</v>
      </c>
    </row>
    <row r="246" customFormat="false" ht="15" hidden="false" customHeight="false" outlineLevel="0" collapsed="false">
      <c r="A246" s="1" t="str">
        <f aca="false">Feuil1!H246</f>
        <v>53991</v>
      </c>
      <c r="B246" s="1" t="s">
        <v>17</v>
      </c>
      <c r="C246" s="1" t="s">
        <v>17</v>
      </c>
      <c r="D246" s="1" t="s">
        <v>17</v>
      </c>
      <c r="E246" s="1" t="s">
        <v>17</v>
      </c>
      <c r="F246" s="1" t="s">
        <v>17</v>
      </c>
      <c r="G246" s="1" t="s">
        <v>17</v>
      </c>
      <c r="H246" s="1" t="s">
        <v>17</v>
      </c>
      <c r="I246" s="3" t="str">
        <f aca="false">Feuil1!I246</f>
        <v>Skis Alpin </v>
      </c>
      <c r="J246" s="3" t="str">
        <f aca="false">Feuil1!J246</f>
        <v>rossignol fun girl</v>
      </c>
      <c r="K246" s="3" t="str">
        <f aca="false">Feuil1!K246</f>
        <v>110 cm</v>
      </c>
      <c r="L246" s="3" t="n">
        <f aca="false">Feuil1!L246</f>
        <v>49</v>
      </c>
      <c r="M246" s="1" t="s">
        <v>17</v>
      </c>
      <c r="N246" s="1" t="s">
        <v>18</v>
      </c>
      <c r="O246" s="1" t="s">
        <v>19</v>
      </c>
      <c r="P246" s="4" t="n">
        <v>45973.466099537</v>
      </c>
      <c r="Q246" s="4" t="n">
        <v>45973.466099537</v>
      </c>
    </row>
    <row r="247" customFormat="false" ht="15" hidden="false" customHeight="false" outlineLevel="0" collapsed="false">
      <c r="A247" s="1" t="str">
        <f aca="false">Feuil1!H247</f>
        <v>53992</v>
      </c>
      <c r="B247" s="1" t="s">
        <v>17</v>
      </c>
      <c r="C247" s="1" t="s">
        <v>17</v>
      </c>
      <c r="D247" s="1" t="s">
        <v>17</v>
      </c>
      <c r="E247" s="1" t="s">
        <v>17</v>
      </c>
      <c r="F247" s="1" t="s">
        <v>17</v>
      </c>
      <c r="G247" s="1" t="s">
        <v>17</v>
      </c>
      <c r="H247" s="1" t="s">
        <v>17</v>
      </c>
      <c r="I247" s="3" t="str">
        <f aca="false">Feuil1!I247</f>
        <v>Skis Alpin </v>
      </c>
      <c r="J247" s="3" t="str">
        <f aca="false">Feuil1!J247</f>
        <v>weedze bee</v>
      </c>
      <c r="K247" s="3" t="str">
        <f aca="false">Feuil1!K247</f>
        <v>110 cm</v>
      </c>
      <c r="L247" s="3" t="n">
        <f aca="false">Feuil1!L247</f>
        <v>49</v>
      </c>
      <c r="M247" s="1" t="s">
        <v>17</v>
      </c>
      <c r="N247" s="1" t="s">
        <v>18</v>
      </c>
      <c r="O247" s="1" t="s">
        <v>19</v>
      </c>
      <c r="P247" s="4" t="n">
        <v>45973.466099537</v>
      </c>
      <c r="Q247" s="4" t="n">
        <v>45973.466099537</v>
      </c>
    </row>
    <row r="248" customFormat="false" ht="15" hidden="false" customHeight="false" outlineLevel="0" collapsed="false">
      <c r="A248" s="1" t="str">
        <f aca="false">Feuil1!H248</f>
        <v>53993</v>
      </c>
      <c r="B248" s="1" t="s">
        <v>17</v>
      </c>
      <c r="C248" s="1" t="s">
        <v>17</v>
      </c>
      <c r="D248" s="1" t="s">
        <v>17</v>
      </c>
      <c r="E248" s="1" t="s">
        <v>17</v>
      </c>
      <c r="F248" s="1" t="s">
        <v>17</v>
      </c>
      <c r="G248" s="1" t="s">
        <v>17</v>
      </c>
      <c r="H248" s="1" t="s">
        <v>17</v>
      </c>
      <c r="I248" s="3" t="str">
        <f aca="false">Feuil1!I248</f>
        <v>Skis Alpin </v>
      </c>
      <c r="J248" s="3" t="str">
        <f aca="false">Feuil1!J248</f>
        <v>atomic xt</v>
      </c>
      <c r="K248" s="3" t="str">
        <f aca="false">Feuil1!K248</f>
        <v>110 cm</v>
      </c>
      <c r="L248" s="3" t="n">
        <f aca="false">Feuil1!L248</f>
        <v>55</v>
      </c>
      <c r="M248" s="1" t="s">
        <v>17</v>
      </c>
      <c r="N248" s="1" t="s">
        <v>18</v>
      </c>
      <c r="O248" s="1" t="s">
        <v>19</v>
      </c>
      <c r="P248" s="4" t="n">
        <v>45973.466099537</v>
      </c>
      <c r="Q248" s="4" t="n">
        <v>45973.466099537</v>
      </c>
    </row>
    <row r="249" customFormat="false" ht="15" hidden="false" customHeight="false" outlineLevel="0" collapsed="false">
      <c r="A249" s="1" t="str">
        <f aca="false">Feuil1!H249</f>
        <v>53994</v>
      </c>
      <c r="B249" s="1" t="s">
        <v>17</v>
      </c>
      <c r="C249" s="1" t="s">
        <v>17</v>
      </c>
      <c r="D249" s="1" t="s">
        <v>17</v>
      </c>
      <c r="E249" s="1" t="s">
        <v>17</v>
      </c>
      <c r="F249" s="1" t="s">
        <v>17</v>
      </c>
      <c r="G249" s="1" t="s">
        <v>17</v>
      </c>
      <c r="H249" s="1" t="s">
        <v>17</v>
      </c>
      <c r="I249" s="3" t="str">
        <f aca="false">Feuil1!I249</f>
        <v>Skis Alpin </v>
      </c>
      <c r="J249" s="3" t="str">
        <f aca="false">Feuil1!J249</f>
        <v>fisher rc4</v>
      </c>
      <c r="K249" s="3" t="str">
        <f aca="false">Feuil1!K249</f>
        <v>110 cm</v>
      </c>
      <c r="L249" s="3" t="n">
        <f aca="false">Feuil1!L249</f>
        <v>55</v>
      </c>
      <c r="M249" s="1" t="s">
        <v>17</v>
      </c>
      <c r="N249" s="1" t="s">
        <v>18</v>
      </c>
      <c r="O249" s="1" t="s">
        <v>19</v>
      </c>
      <c r="P249" s="4" t="n">
        <v>45973.466099537</v>
      </c>
      <c r="Q249" s="4" t="n">
        <v>45973.466099537</v>
      </c>
    </row>
    <row r="250" customFormat="false" ht="15" hidden="false" customHeight="false" outlineLevel="0" collapsed="false">
      <c r="A250" s="1" t="str">
        <f aca="false">Feuil1!H250</f>
        <v>53995</v>
      </c>
      <c r="B250" s="1" t="s">
        <v>17</v>
      </c>
      <c r="C250" s="1" t="s">
        <v>17</v>
      </c>
      <c r="D250" s="1" t="s">
        <v>17</v>
      </c>
      <c r="E250" s="1" t="s">
        <v>17</v>
      </c>
      <c r="F250" s="1" t="s">
        <v>17</v>
      </c>
      <c r="G250" s="1" t="s">
        <v>17</v>
      </c>
      <c r="H250" s="1" t="s">
        <v>17</v>
      </c>
      <c r="I250" s="3" t="str">
        <f aca="false">Feuil1!I250</f>
        <v>Skis Alpin </v>
      </c>
      <c r="J250" s="3" t="str">
        <f aca="false">Feuil1!J250</f>
        <v>fisher progressor</v>
      </c>
      <c r="K250" s="3" t="str">
        <f aca="false">Feuil1!K250</f>
        <v>110 cm</v>
      </c>
      <c r="L250" s="3" t="n">
        <f aca="false">Feuil1!L250</f>
        <v>49</v>
      </c>
      <c r="M250" s="1" t="s">
        <v>17</v>
      </c>
      <c r="N250" s="1" t="s">
        <v>18</v>
      </c>
      <c r="O250" s="1" t="s">
        <v>19</v>
      </c>
      <c r="P250" s="4" t="n">
        <v>45973.466099537</v>
      </c>
      <c r="Q250" s="4" t="n">
        <v>45973.466099537</v>
      </c>
    </row>
    <row r="251" customFormat="false" ht="15" hidden="false" customHeight="false" outlineLevel="0" collapsed="false">
      <c r="A251" s="1" t="str">
        <f aca="false">Feuil1!H251</f>
        <v>53996</v>
      </c>
      <c r="B251" s="1" t="s">
        <v>17</v>
      </c>
      <c r="C251" s="1" t="s">
        <v>17</v>
      </c>
      <c r="D251" s="1" t="s">
        <v>17</v>
      </c>
      <c r="E251" s="1" t="s">
        <v>17</v>
      </c>
      <c r="F251" s="1" t="s">
        <v>17</v>
      </c>
      <c r="G251" s="1" t="s">
        <v>17</v>
      </c>
      <c r="H251" s="1" t="s">
        <v>17</v>
      </c>
      <c r="I251" s="3" t="str">
        <f aca="false">Feuil1!I251</f>
        <v>Skis Alpin </v>
      </c>
      <c r="J251" s="3" t="str">
        <f aca="false">Feuil1!J251</f>
        <v>weedze booster</v>
      </c>
      <c r="K251" s="3" t="str">
        <f aca="false">Feuil1!K251</f>
        <v>110 cm</v>
      </c>
      <c r="L251" s="3" t="n">
        <f aca="false">Feuil1!L251</f>
        <v>49</v>
      </c>
      <c r="M251" s="1" t="s">
        <v>17</v>
      </c>
      <c r="N251" s="1" t="s">
        <v>18</v>
      </c>
      <c r="O251" s="1" t="s">
        <v>19</v>
      </c>
      <c r="P251" s="4" t="n">
        <v>45973.466099537</v>
      </c>
      <c r="Q251" s="4" t="n">
        <v>45973.466099537</v>
      </c>
    </row>
    <row r="252" customFormat="false" ht="15" hidden="false" customHeight="false" outlineLevel="0" collapsed="false">
      <c r="A252" s="1" t="str">
        <f aca="false">Feuil1!H252</f>
        <v>53997</v>
      </c>
      <c r="B252" s="1" t="s">
        <v>17</v>
      </c>
      <c r="C252" s="1" t="s">
        <v>17</v>
      </c>
      <c r="D252" s="1" t="s">
        <v>17</v>
      </c>
      <c r="E252" s="1" t="s">
        <v>17</v>
      </c>
      <c r="F252" s="1" t="s">
        <v>17</v>
      </c>
      <c r="G252" s="1" t="s">
        <v>17</v>
      </c>
      <c r="H252" s="1" t="s">
        <v>17</v>
      </c>
      <c r="I252" s="3" t="str">
        <f aca="false">Feuil1!I252</f>
        <v>Skis Alpin </v>
      </c>
      <c r="J252" s="3" t="str">
        <f aca="false">Feuil1!J252</f>
        <v>dynamic s40</v>
      </c>
      <c r="K252" s="3" t="str">
        <f aca="false">Feuil1!K252</f>
        <v>110 cm</v>
      </c>
      <c r="L252" s="3" t="n">
        <f aca="false">Feuil1!L252</f>
        <v>49</v>
      </c>
      <c r="M252" s="1" t="s">
        <v>17</v>
      </c>
      <c r="N252" s="1" t="s">
        <v>18</v>
      </c>
      <c r="O252" s="1" t="s">
        <v>19</v>
      </c>
      <c r="P252" s="4" t="n">
        <v>45973.466099537</v>
      </c>
      <c r="Q252" s="4" t="n">
        <v>45973.466099537</v>
      </c>
    </row>
    <row r="253" customFormat="false" ht="15" hidden="false" customHeight="false" outlineLevel="0" collapsed="false">
      <c r="A253" s="1" t="str">
        <f aca="false">Feuil1!H253</f>
        <v>53998</v>
      </c>
      <c r="B253" s="1" t="s">
        <v>17</v>
      </c>
      <c r="C253" s="1" t="s">
        <v>17</v>
      </c>
      <c r="D253" s="1" t="s">
        <v>17</v>
      </c>
      <c r="E253" s="1" t="s">
        <v>17</v>
      </c>
      <c r="F253" s="1" t="s">
        <v>17</v>
      </c>
      <c r="G253" s="1" t="s">
        <v>17</v>
      </c>
      <c r="H253" s="1" t="s">
        <v>17</v>
      </c>
      <c r="I253" s="3" t="str">
        <f aca="false">Feuil1!I253</f>
        <v>Skis Alpin </v>
      </c>
      <c r="J253" s="3" t="str">
        <f aca="false">Feuil1!J253</f>
        <v>rossignol hero</v>
      </c>
      <c r="K253" s="3" t="str">
        <f aca="false">Feuil1!K253</f>
        <v>100 cm</v>
      </c>
      <c r="L253" s="3" t="n">
        <f aca="false">Feuil1!L253</f>
        <v>49</v>
      </c>
      <c r="M253" s="1" t="s">
        <v>17</v>
      </c>
      <c r="N253" s="1" t="s">
        <v>18</v>
      </c>
      <c r="O253" s="1" t="s">
        <v>19</v>
      </c>
      <c r="P253" s="4" t="n">
        <v>45973.466099537</v>
      </c>
      <c r="Q253" s="4" t="n">
        <v>45973.466099537</v>
      </c>
    </row>
    <row r="254" customFormat="false" ht="15" hidden="false" customHeight="false" outlineLevel="0" collapsed="false">
      <c r="A254" s="1" t="str">
        <f aca="false">Feuil1!H254</f>
        <v>53999</v>
      </c>
      <c r="B254" s="1" t="s">
        <v>17</v>
      </c>
      <c r="C254" s="1" t="s">
        <v>17</v>
      </c>
      <c r="D254" s="1" t="s">
        <v>17</v>
      </c>
      <c r="E254" s="1" t="s">
        <v>17</v>
      </c>
      <c r="F254" s="1" t="s">
        <v>17</v>
      </c>
      <c r="G254" s="1" t="s">
        <v>17</v>
      </c>
      <c r="H254" s="1" t="s">
        <v>17</v>
      </c>
      <c r="I254" s="3" t="str">
        <f aca="false">Feuil1!I254</f>
        <v>Skis Alpin </v>
      </c>
      <c r="J254" s="3" t="str">
        <f aca="false">Feuil1!J254</f>
        <v>rossignol hero</v>
      </c>
      <c r="K254" s="3" t="str">
        <f aca="false">Feuil1!K254</f>
        <v>100 cm</v>
      </c>
      <c r="L254" s="3" t="n">
        <f aca="false">Feuil1!L254</f>
        <v>49</v>
      </c>
      <c r="M254" s="1" t="s">
        <v>17</v>
      </c>
      <c r="N254" s="1" t="s">
        <v>18</v>
      </c>
      <c r="O254" s="1" t="s">
        <v>19</v>
      </c>
      <c r="P254" s="4" t="n">
        <v>45973.466099537</v>
      </c>
      <c r="Q254" s="4" t="n">
        <v>45973.466099537</v>
      </c>
    </row>
    <row r="255" customFormat="false" ht="15" hidden="false" customHeight="false" outlineLevel="0" collapsed="false">
      <c r="A255" s="1" t="str">
        <f aca="false">Feuil1!H255</f>
        <v>54000</v>
      </c>
      <c r="B255" s="1" t="s">
        <v>17</v>
      </c>
      <c r="C255" s="1" t="s">
        <v>17</v>
      </c>
      <c r="D255" s="1" t="s">
        <v>17</v>
      </c>
      <c r="E255" s="1" t="s">
        <v>17</v>
      </c>
      <c r="F255" s="1" t="s">
        <v>17</v>
      </c>
      <c r="G255" s="1" t="s">
        <v>17</v>
      </c>
      <c r="H255" s="1" t="s">
        <v>17</v>
      </c>
      <c r="I255" s="3" t="str">
        <f aca="false">Feuil1!I255</f>
        <v>Skis Alpin </v>
      </c>
      <c r="J255" s="3" t="str">
        <f aca="false">Feuil1!J255</f>
        <v>atomic xt</v>
      </c>
      <c r="K255" s="3" t="str">
        <f aca="false">Feuil1!K255</f>
        <v>100 cm</v>
      </c>
      <c r="L255" s="3" t="n">
        <f aca="false">Feuil1!L255</f>
        <v>49</v>
      </c>
      <c r="M255" s="1" t="s">
        <v>17</v>
      </c>
      <c r="N255" s="1" t="s">
        <v>18</v>
      </c>
      <c r="O255" s="1" t="s">
        <v>19</v>
      </c>
      <c r="P255" s="4" t="n">
        <v>45973.466099537</v>
      </c>
      <c r="Q255" s="4" t="n">
        <v>45973.466099537</v>
      </c>
    </row>
    <row r="256" customFormat="false" ht="15" hidden="false" customHeight="false" outlineLevel="0" collapsed="false">
      <c r="A256" s="1" t="str">
        <f aca="false">Feuil1!H256</f>
        <v>54001</v>
      </c>
      <c r="B256" s="1" t="s">
        <v>17</v>
      </c>
      <c r="C256" s="1" t="s">
        <v>17</v>
      </c>
      <c r="D256" s="1" t="s">
        <v>17</v>
      </c>
      <c r="E256" s="1" t="s">
        <v>17</v>
      </c>
      <c r="F256" s="1" t="s">
        <v>17</v>
      </c>
      <c r="G256" s="1" t="s">
        <v>17</v>
      </c>
      <c r="H256" s="1" t="s">
        <v>17</v>
      </c>
      <c r="I256" s="3" t="str">
        <f aca="false">Feuil1!I256</f>
        <v>Skis Alpin </v>
      </c>
      <c r="J256" s="3" t="str">
        <f aca="false">Feuil1!J256</f>
        <v>atomic xt</v>
      </c>
      <c r="K256" s="3" t="str">
        <f aca="false">Feuil1!K256</f>
        <v>100 cm</v>
      </c>
      <c r="L256" s="3" t="n">
        <f aca="false">Feuil1!L256</f>
        <v>49</v>
      </c>
      <c r="M256" s="1" t="s">
        <v>17</v>
      </c>
      <c r="N256" s="1" t="s">
        <v>18</v>
      </c>
      <c r="O256" s="1" t="s">
        <v>19</v>
      </c>
      <c r="P256" s="4" t="n">
        <v>45973.466099537</v>
      </c>
      <c r="Q256" s="4" t="n">
        <v>45973.466099537</v>
      </c>
    </row>
    <row r="257" customFormat="false" ht="15" hidden="false" customHeight="false" outlineLevel="0" collapsed="false">
      <c r="A257" s="1" t="str">
        <f aca="false">Feuil1!H257</f>
        <v>54002</v>
      </c>
      <c r="B257" s="1" t="s">
        <v>17</v>
      </c>
      <c r="C257" s="1" t="s">
        <v>17</v>
      </c>
      <c r="D257" s="1" t="s">
        <v>17</v>
      </c>
      <c r="E257" s="1" t="s">
        <v>17</v>
      </c>
      <c r="F257" s="1" t="s">
        <v>17</v>
      </c>
      <c r="G257" s="1" t="s">
        <v>17</v>
      </c>
      <c r="H257" s="1" t="s">
        <v>17</v>
      </c>
      <c r="I257" s="3" t="str">
        <f aca="false">Feuil1!I257</f>
        <v>Skis Alpin </v>
      </c>
      <c r="J257" s="3" t="str">
        <f aca="false">Feuil1!J257</f>
        <v>weedze one b</v>
      </c>
      <c r="K257" s="3" t="str">
        <f aca="false">Feuil1!K257</f>
        <v>100 cm</v>
      </c>
      <c r="L257" s="3" t="n">
        <f aca="false">Feuil1!L257</f>
        <v>45</v>
      </c>
      <c r="M257" s="1" t="s">
        <v>17</v>
      </c>
      <c r="N257" s="1" t="s">
        <v>18</v>
      </c>
      <c r="O257" s="1" t="s">
        <v>19</v>
      </c>
      <c r="P257" s="4" t="n">
        <v>45973.466099537</v>
      </c>
      <c r="Q257" s="4" t="n">
        <v>45973.466099537</v>
      </c>
    </row>
    <row r="258" customFormat="false" ht="15" hidden="false" customHeight="false" outlineLevel="0" collapsed="false">
      <c r="A258" s="1" t="str">
        <f aca="false">Feuil1!H258</f>
        <v>54003</v>
      </c>
      <c r="B258" s="1" t="s">
        <v>17</v>
      </c>
      <c r="C258" s="1" t="s">
        <v>17</v>
      </c>
      <c r="D258" s="1" t="s">
        <v>17</v>
      </c>
      <c r="E258" s="1" t="s">
        <v>17</v>
      </c>
      <c r="F258" s="1" t="s">
        <v>17</v>
      </c>
      <c r="G258" s="1" t="s">
        <v>17</v>
      </c>
      <c r="H258" s="1" t="s">
        <v>17</v>
      </c>
      <c r="I258" s="3" t="str">
        <f aca="false">Feuil1!I258</f>
        <v>Skis Alpin </v>
      </c>
      <c r="J258" s="3" t="str">
        <f aca="false">Feuil1!J258</f>
        <v>weedze one b</v>
      </c>
      <c r="K258" s="3" t="str">
        <f aca="false">Feuil1!K258</f>
        <v>100 cm</v>
      </c>
      <c r="L258" s="3" t="n">
        <f aca="false">Feuil1!L258</f>
        <v>45</v>
      </c>
      <c r="M258" s="1" t="s">
        <v>17</v>
      </c>
      <c r="N258" s="1" t="s">
        <v>18</v>
      </c>
      <c r="O258" s="1" t="s">
        <v>19</v>
      </c>
      <c r="P258" s="4" t="n">
        <v>45973.466099537</v>
      </c>
      <c r="Q258" s="4" t="n">
        <v>45973.466099537</v>
      </c>
    </row>
    <row r="259" customFormat="false" ht="15" hidden="false" customHeight="false" outlineLevel="0" collapsed="false">
      <c r="A259" s="1" t="str">
        <f aca="false">Feuil1!H259</f>
        <v>54004</v>
      </c>
      <c r="B259" s="1" t="s">
        <v>17</v>
      </c>
      <c r="C259" s="1" t="s">
        <v>17</v>
      </c>
      <c r="D259" s="1" t="s">
        <v>17</v>
      </c>
      <c r="E259" s="1" t="s">
        <v>17</v>
      </c>
      <c r="F259" s="1" t="s">
        <v>17</v>
      </c>
      <c r="G259" s="1" t="s">
        <v>17</v>
      </c>
      <c r="H259" s="1" t="s">
        <v>17</v>
      </c>
      <c r="I259" s="3" t="str">
        <f aca="false">Feuil1!I259</f>
        <v>Skis Alpin </v>
      </c>
      <c r="J259" s="3" t="str">
        <f aca="false">Feuil1!J259</f>
        <v>weedze one b</v>
      </c>
      <c r="K259" s="3" t="str">
        <f aca="false">Feuil1!K259</f>
        <v>100 cm</v>
      </c>
      <c r="L259" s="3" t="n">
        <f aca="false">Feuil1!L259</f>
        <v>45</v>
      </c>
      <c r="M259" s="1" t="s">
        <v>17</v>
      </c>
      <c r="N259" s="1" t="s">
        <v>18</v>
      </c>
      <c r="O259" s="1" t="s">
        <v>19</v>
      </c>
      <c r="P259" s="4" t="n">
        <v>45973.466099537</v>
      </c>
      <c r="Q259" s="4" t="n">
        <v>45973.466099537</v>
      </c>
    </row>
    <row r="260" customFormat="false" ht="15" hidden="false" customHeight="false" outlineLevel="0" collapsed="false">
      <c r="A260" s="1" t="str">
        <f aca="false">Feuil1!H260</f>
        <v>54005</v>
      </c>
      <c r="B260" s="1" t="s">
        <v>17</v>
      </c>
      <c r="C260" s="1" t="s">
        <v>17</v>
      </c>
      <c r="D260" s="1" t="s">
        <v>17</v>
      </c>
      <c r="E260" s="1" t="s">
        <v>17</v>
      </c>
      <c r="F260" s="1" t="s">
        <v>17</v>
      </c>
      <c r="G260" s="1" t="s">
        <v>17</v>
      </c>
      <c r="H260" s="1" t="s">
        <v>17</v>
      </c>
      <c r="I260" s="3" t="str">
        <f aca="false">Feuil1!I260</f>
        <v>Skis Alpin </v>
      </c>
      <c r="J260" s="3" t="str">
        <f aca="false">Feuil1!J260</f>
        <v>weedze one b</v>
      </c>
      <c r="K260" s="3" t="str">
        <f aca="false">Feuil1!K260</f>
        <v>104 cm</v>
      </c>
      <c r="L260" s="3" t="n">
        <f aca="false">Feuil1!L260</f>
        <v>45</v>
      </c>
      <c r="M260" s="1" t="s">
        <v>17</v>
      </c>
      <c r="N260" s="1" t="s">
        <v>18</v>
      </c>
      <c r="O260" s="1" t="s">
        <v>19</v>
      </c>
      <c r="P260" s="4" t="n">
        <v>45973.466099537</v>
      </c>
      <c r="Q260" s="4" t="n">
        <v>45973.466099537</v>
      </c>
    </row>
    <row r="261" customFormat="false" ht="15" hidden="false" customHeight="false" outlineLevel="0" collapsed="false">
      <c r="A261" s="1" t="str">
        <f aca="false">Feuil1!H261</f>
        <v>54006</v>
      </c>
      <c r="B261" s="1" t="s">
        <v>17</v>
      </c>
      <c r="C261" s="1" t="s">
        <v>17</v>
      </c>
      <c r="D261" s="1" t="s">
        <v>17</v>
      </c>
      <c r="E261" s="1" t="s">
        <v>17</v>
      </c>
      <c r="F261" s="1" t="s">
        <v>17</v>
      </c>
      <c r="G261" s="1" t="s">
        <v>17</v>
      </c>
      <c r="H261" s="1" t="s">
        <v>17</v>
      </c>
      <c r="I261" s="3" t="str">
        <f aca="false">Feuil1!I261</f>
        <v>Skis Alpin </v>
      </c>
      <c r="J261" s="3" t="str">
        <f aca="false">Feuil1!J261</f>
        <v>weedze one b</v>
      </c>
      <c r="K261" s="3" t="str">
        <f aca="false">Feuil1!K261</f>
        <v>104 cm</v>
      </c>
      <c r="L261" s="3" t="n">
        <f aca="false">Feuil1!L261</f>
        <v>45</v>
      </c>
      <c r="M261" s="1" t="s">
        <v>17</v>
      </c>
      <c r="N261" s="1" t="s">
        <v>18</v>
      </c>
      <c r="O261" s="1" t="s">
        <v>19</v>
      </c>
      <c r="P261" s="4" t="n">
        <v>45973.466099537</v>
      </c>
      <c r="Q261" s="4" t="n">
        <v>45973.466099537</v>
      </c>
    </row>
    <row r="262" customFormat="false" ht="15" hidden="false" customHeight="false" outlineLevel="0" collapsed="false">
      <c r="A262" s="1" t="str">
        <f aca="false">Feuil1!H262</f>
        <v>54007</v>
      </c>
      <c r="B262" s="1" t="s">
        <v>17</v>
      </c>
      <c r="C262" s="1" t="s">
        <v>17</v>
      </c>
      <c r="D262" s="1" t="s">
        <v>17</v>
      </c>
      <c r="E262" s="1" t="s">
        <v>17</v>
      </c>
      <c r="F262" s="1" t="s">
        <v>17</v>
      </c>
      <c r="G262" s="1" t="s">
        <v>17</v>
      </c>
      <c r="H262" s="1" t="s">
        <v>17</v>
      </c>
      <c r="I262" s="3" t="str">
        <f aca="false">Feuil1!I262</f>
        <v>Skis Alpin </v>
      </c>
      <c r="J262" s="3" t="str">
        <f aca="false">Feuil1!J262</f>
        <v>weedze one b</v>
      </c>
      <c r="K262" s="3" t="str">
        <f aca="false">Feuil1!K262</f>
        <v>104 cm</v>
      </c>
      <c r="L262" s="3" t="n">
        <f aca="false">Feuil1!L262</f>
        <v>45</v>
      </c>
      <c r="M262" s="1" t="s">
        <v>17</v>
      </c>
      <c r="N262" s="1" t="s">
        <v>18</v>
      </c>
      <c r="O262" s="1" t="s">
        <v>19</v>
      </c>
      <c r="P262" s="4" t="n">
        <v>45973.466099537</v>
      </c>
      <c r="Q262" s="4" t="n">
        <v>45973.466099537</v>
      </c>
    </row>
    <row r="263" customFormat="false" ht="15" hidden="false" customHeight="false" outlineLevel="0" collapsed="false">
      <c r="A263" s="1" t="str">
        <f aca="false">Feuil1!H263</f>
        <v>54008</v>
      </c>
      <c r="B263" s="1" t="s">
        <v>17</v>
      </c>
      <c r="C263" s="1" t="s">
        <v>17</v>
      </c>
      <c r="D263" s="1" t="s">
        <v>17</v>
      </c>
      <c r="E263" s="1" t="s">
        <v>17</v>
      </c>
      <c r="F263" s="1" t="s">
        <v>17</v>
      </c>
      <c r="G263" s="1" t="s">
        <v>17</v>
      </c>
      <c r="H263" s="1" t="s">
        <v>17</v>
      </c>
      <c r="I263" s="3" t="str">
        <f aca="false">Feuil1!I263</f>
        <v>Skis Alpin </v>
      </c>
      <c r="J263" s="3" t="str">
        <f aca="false">Feuil1!J263</f>
        <v>weedze one b</v>
      </c>
      <c r="K263" s="3" t="str">
        <f aca="false">Feuil1!K263</f>
        <v>100 cm</v>
      </c>
      <c r="L263" s="3" t="n">
        <f aca="false">Feuil1!L263</f>
        <v>45</v>
      </c>
      <c r="M263" s="1" t="s">
        <v>17</v>
      </c>
      <c r="N263" s="1" t="s">
        <v>18</v>
      </c>
      <c r="O263" s="1" t="s">
        <v>19</v>
      </c>
      <c r="P263" s="4" t="n">
        <v>45973.466099537</v>
      </c>
      <c r="Q263" s="4" t="n">
        <v>45973.466099537</v>
      </c>
    </row>
    <row r="264" customFormat="false" ht="15" hidden="false" customHeight="false" outlineLevel="0" collapsed="false">
      <c r="A264" s="1" t="str">
        <f aca="false">Feuil1!H264</f>
        <v>54009</v>
      </c>
      <c r="B264" s="1" t="s">
        <v>17</v>
      </c>
      <c r="C264" s="1" t="s">
        <v>17</v>
      </c>
      <c r="D264" s="1" t="s">
        <v>17</v>
      </c>
      <c r="E264" s="1" t="s">
        <v>17</v>
      </c>
      <c r="F264" s="1" t="s">
        <v>17</v>
      </c>
      <c r="G264" s="1" t="s">
        <v>17</v>
      </c>
      <c r="H264" s="1" t="s">
        <v>17</v>
      </c>
      <c r="I264" s="3" t="str">
        <f aca="false">Feuil1!I264</f>
        <v>Skis Alpin </v>
      </c>
      <c r="J264" s="3" t="str">
        <f aca="false">Feuil1!J264</f>
        <v>dynastar cham</v>
      </c>
      <c r="K264" s="3" t="str">
        <f aca="false">Feuil1!K264</f>
        <v>100 cm</v>
      </c>
      <c r="L264" s="3" t="n">
        <f aca="false">Feuil1!L264</f>
        <v>45</v>
      </c>
      <c r="M264" s="1" t="s">
        <v>17</v>
      </c>
      <c r="N264" s="1" t="s">
        <v>18</v>
      </c>
      <c r="O264" s="1" t="s">
        <v>19</v>
      </c>
      <c r="P264" s="4" t="n">
        <v>45973.466099537</v>
      </c>
      <c r="Q264" s="4" t="n">
        <v>45973.466099537</v>
      </c>
    </row>
    <row r="265" customFormat="false" ht="15" hidden="false" customHeight="false" outlineLevel="0" collapsed="false">
      <c r="A265" s="1" t="str">
        <f aca="false">Feuil1!H265</f>
        <v>54010</v>
      </c>
      <c r="B265" s="1" t="s">
        <v>17</v>
      </c>
      <c r="C265" s="1" t="s">
        <v>17</v>
      </c>
      <c r="D265" s="1" t="s">
        <v>17</v>
      </c>
      <c r="E265" s="1" t="s">
        <v>17</v>
      </c>
      <c r="F265" s="1" t="s">
        <v>17</v>
      </c>
      <c r="G265" s="1" t="s">
        <v>17</v>
      </c>
      <c r="H265" s="1" t="s">
        <v>17</v>
      </c>
      <c r="I265" s="3" t="str">
        <f aca="false">Feuil1!I265</f>
        <v>Skis Alpin </v>
      </c>
      <c r="J265" s="3" t="str">
        <f aca="false">Feuil1!J265</f>
        <v>dynastar team</v>
      </c>
      <c r="K265" s="3" t="str">
        <f aca="false">Feuil1!K265</f>
        <v>100 cm</v>
      </c>
      <c r="L265" s="3" t="n">
        <f aca="false">Feuil1!L265</f>
        <v>49</v>
      </c>
      <c r="M265" s="1" t="s">
        <v>17</v>
      </c>
      <c r="N265" s="1" t="s">
        <v>18</v>
      </c>
      <c r="O265" s="1" t="s">
        <v>19</v>
      </c>
      <c r="P265" s="4" t="n">
        <v>45973.466099537</v>
      </c>
      <c r="Q265" s="4" t="n">
        <v>45973.466099537</v>
      </c>
    </row>
    <row r="266" customFormat="false" ht="15" hidden="false" customHeight="false" outlineLevel="0" collapsed="false">
      <c r="A266" s="1" t="str">
        <f aca="false">Feuil1!H266</f>
        <v>54011</v>
      </c>
      <c r="B266" s="1" t="s">
        <v>17</v>
      </c>
      <c r="C266" s="1" t="s">
        <v>17</v>
      </c>
      <c r="D266" s="1" t="s">
        <v>17</v>
      </c>
      <c r="E266" s="1" t="s">
        <v>17</v>
      </c>
      <c r="F266" s="1" t="s">
        <v>17</v>
      </c>
      <c r="G266" s="1" t="s">
        <v>17</v>
      </c>
      <c r="H266" s="1" t="s">
        <v>17</v>
      </c>
      <c r="I266" s="3" t="str">
        <f aca="false">Feuil1!I266</f>
        <v>Skis Alpin </v>
      </c>
      <c r="J266" s="3" t="str">
        <f aca="false">Feuil1!J266</f>
        <v>dynastar starlett</v>
      </c>
      <c r="K266" s="3" t="str">
        <f aca="false">Feuil1!K266</f>
        <v>100 cm</v>
      </c>
      <c r="L266" s="3" t="n">
        <f aca="false">Feuil1!L266</f>
        <v>45</v>
      </c>
      <c r="M266" s="1" t="s">
        <v>17</v>
      </c>
      <c r="N266" s="1" t="s">
        <v>18</v>
      </c>
      <c r="O266" s="1" t="s">
        <v>19</v>
      </c>
      <c r="P266" s="4" t="n">
        <v>45973.466099537</v>
      </c>
      <c r="Q266" s="4" t="n">
        <v>45973.466099537</v>
      </c>
    </row>
    <row r="267" customFormat="false" ht="15" hidden="false" customHeight="false" outlineLevel="0" collapsed="false">
      <c r="A267" s="1" t="str">
        <f aca="false">Feuil1!H267</f>
        <v>54012</v>
      </c>
      <c r="B267" s="1" t="s">
        <v>17</v>
      </c>
      <c r="C267" s="1" t="s">
        <v>17</v>
      </c>
      <c r="D267" s="1" t="s">
        <v>17</v>
      </c>
      <c r="E267" s="1" t="s">
        <v>17</v>
      </c>
      <c r="F267" s="1" t="s">
        <v>17</v>
      </c>
      <c r="G267" s="1" t="s">
        <v>17</v>
      </c>
      <c r="H267" s="1" t="s">
        <v>17</v>
      </c>
      <c r="I267" s="3" t="str">
        <f aca="false">Feuil1!I267</f>
        <v>Skis Alpin </v>
      </c>
      <c r="J267" s="3" t="str">
        <f aca="false">Feuil1!J267</f>
        <v>dynastar cham</v>
      </c>
      <c r="K267" s="3" t="str">
        <f aca="false">Feuil1!K267</f>
        <v>104 cm</v>
      </c>
      <c r="L267" s="3" t="n">
        <f aca="false">Feuil1!L267</f>
        <v>55</v>
      </c>
      <c r="M267" s="1" t="s">
        <v>17</v>
      </c>
      <c r="N267" s="1" t="s">
        <v>18</v>
      </c>
      <c r="O267" s="1" t="s">
        <v>19</v>
      </c>
      <c r="P267" s="4" t="n">
        <v>45973.466099537</v>
      </c>
      <c r="Q267" s="4" t="n">
        <v>45973.466099537</v>
      </c>
    </row>
    <row r="268" customFormat="false" ht="15" hidden="false" customHeight="false" outlineLevel="0" collapsed="false">
      <c r="A268" s="1" t="str">
        <f aca="false">Feuil1!H268</f>
        <v>54013</v>
      </c>
      <c r="B268" s="1" t="s">
        <v>17</v>
      </c>
      <c r="C268" s="1" t="s">
        <v>17</v>
      </c>
      <c r="D268" s="1" t="s">
        <v>17</v>
      </c>
      <c r="E268" s="1" t="s">
        <v>17</v>
      </c>
      <c r="F268" s="1" t="s">
        <v>17</v>
      </c>
      <c r="G268" s="1" t="s">
        <v>17</v>
      </c>
      <c r="H268" s="1" t="s">
        <v>17</v>
      </c>
      <c r="I268" s="3" t="str">
        <f aca="false">Feuil1!I268</f>
        <v>Skis Alpin </v>
      </c>
      <c r="J268" s="3" t="str">
        <f aca="false">Feuil1!J268</f>
        <v>dynastar salsa</v>
      </c>
      <c r="K268" s="3" t="str">
        <f aca="false">Feuil1!K268</f>
        <v>104 cm</v>
      </c>
      <c r="L268" s="3" t="n">
        <f aca="false">Feuil1!L268</f>
        <v>55</v>
      </c>
      <c r="M268" s="1" t="s">
        <v>17</v>
      </c>
      <c r="N268" s="1" t="s">
        <v>18</v>
      </c>
      <c r="O268" s="1" t="s">
        <v>19</v>
      </c>
      <c r="P268" s="4" t="n">
        <v>45973.466099537</v>
      </c>
      <c r="Q268" s="4" t="n">
        <v>45973.466099537</v>
      </c>
    </row>
    <row r="269" customFormat="false" ht="15" hidden="false" customHeight="false" outlineLevel="0" collapsed="false">
      <c r="A269" s="1" t="str">
        <f aca="false">Feuil1!H269</f>
        <v>54014</v>
      </c>
      <c r="B269" s="1" t="s">
        <v>17</v>
      </c>
      <c r="C269" s="1" t="s">
        <v>17</v>
      </c>
      <c r="D269" s="1" t="s">
        <v>17</v>
      </c>
      <c r="E269" s="1" t="s">
        <v>17</v>
      </c>
      <c r="F269" s="1" t="s">
        <v>17</v>
      </c>
      <c r="G269" s="1" t="s">
        <v>17</v>
      </c>
      <c r="H269" s="1" t="s">
        <v>17</v>
      </c>
      <c r="I269" s="3" t="str">
        <f aca="false">Feuil1!I269</f>
        <v>Skis Alpin </v>
      </c>
      <c r="J269" s="3" t="str">
        <f aca="false">Feuil1!J269</f>
        <v>starwars </v>
      </c>
      <c r="K269" s="3" t="str">
        <f aca="false">Feuil1!K269</f>
        <v>104 cm</v>
      </c>
      <c r="L269" s="3" t="n">
        <f aca="false">Feuil1!L269</f>
        <v>55</v>
      </c>
      <c r="M269" s="1" t="s">
        <v>17</v>
      </c>
      <c r="N269" s="1" t="s">
        <v>18</v>
      </c>
      <c r="O269" s="1" t="s">
        <v>19</v>
      </c>
      <c r="P269" s="4" t="n">
        <v>45973.466099537</v>
      </c>
      <c r="Q269" s="4" t="n">
        <v>45973.466099537</v>
      </c>
    </row>
    <row r="270" customFormat="false" ht="15" hidden="false" customHeight="false" outlineLevel="0" collapsed="false">
      <c r="A270" s="1" t="str">
        <f aca="false">Feuil1!H270</f>
        <v>54015</v>
      </c>
      <c r="B270" s="1" t="s">
        <v>17</v>
      </c>
      <c r="C270" s="1" t="s">
        <v>17</v>
      </c>
      <c r="D270" s="1" t="s">
        <v>17</v>
      </c>
      <c r="E270" s="1" t="s">
        <v>17</v>
      </c>
      <c r="F270" s="1" t="s">
        <v>17</v>
      </c>
      <c r="G270" s="1" t="s">
        <v>17</v>
      </c>
      <c r="H270" s="1" t="s">
        <v>17</v>
      </c>
      <c r="I270" s="3" t="str">
        <f aca="false">Feuil1!I270</f>
        <v>Skis Alpin </v>
      </c>
      <c r="J270" s="3" t="str">
        <f aca="false">Feuil1!J270</f>
        <v>starwars </v>
      </c>
      <c r="K270" s="3" t="str">
        <f aca="false">Feuil1!K270</f>
        <v>104 cm</v>
      </c>
      <c r="L270" s="3" t="n">
        <f aca="false">Feuil1!L270</f>
        <v>55</v>
      </c>
      <c r="M270" s="1" t="s">
        <v>17</v>
      </c>
      <c r="N270" s="1" t="s">
        <v>18</v>
      </c>
      <c r="O270" s="1" t="s">
        <v>19</v>
      </c>
      <c r="P270" s="4" t="n">
        <v>45973.466099537</v>
      </c>
      <c r="Q270" s="4" t="n">
        <v>45973.466099537</v>
      </c>
    </row>
    <row r="271" customFormat="false" ht="15" hidden="false" customHeight="false" outlineLevel="0" collapsed="false">
      <c r="A271" s="1" t="str">
        <f aca="false">Feuil1!H271</f>
        <v>54016</v>
      </c>
      <c r="B271" s="1" t="s">
        <v>17</v>
      </c>
      <c r="C271" s="1" t="s">
        <v>17</v>
      </c>
      <c r="D271" s="1" t="s">
        <v>17</v>
      </c>
      <c r="E271" s="1" t="s">
        <v>17</v>
      </c>
      <c r="F271" s="1" t="s">
        <v>17</v>
      </c>
      <c r="G271" s="1" t="s">
        <v>17</v>
      </c>
      <c r="H271" s="1" t="s">
        <v>17</v>
      </c>
      <c r="I271" s="3" t="str">
        <f aca="false">Feuil1!I271</f>
        <v>Skis Alpin </v>
      </c>
      <c r="J271" s="3" t="str">
        <f aca="false">Feuil1!J271</f>
        <v>wedze one b</v>
      </c>
      <c r="K271" s="3" t="str">
        <f aca="false">Feuil1!K271</f>
        <v>100 cm</v>
      </c>
      <c r="L271" s="3" t="n">
        <f aca="false">Feuil1!L271</f>
        <v>49</v>
      </c>
      <c r="M271" s="1" t="s">
        <v>17</v>
      </c>
      <c r="N271" s="1" t="s">
        <v>18</v>
      </c>
      <c r="O271" s="1" t="s">
        <v>19</v>
      </c>
      <c r="P271" s="4" t="n">
        <v>45973.466099537</v>
      </c>
      <c r="Q271" s="4" t="n">
        <v>45973.466099537</v>
      </c>
    </row>
    <row r="272" customFormat="false" ht="15" hidden="false" customHeight="false" outlineLevel="0" collapsed="false">
      <c r="A272" s="1" t="str">
        <f aca="false">Feuil1!H272</f>
        <v>54017</v>
      </c>
      <c r="B272" s="1" t="s">
        <v>17</v>
      </c>
      <c r="C272" s="1" t="s">
        <v>17</v>
      </c>
      <c r="D272" s="1" t="s">
        <v>17</v>
      </c>
      <c r="E272" s="1" t="s">
        <v>17</v>
      </c>
      <c r="F272" s="1" t="s">
        <v>17</v>
      </c>
      <c r="G272" s="1" t="s">
        <v>17</v>
      </c>
      <c r="H272" s="1" t="s">
        <v>17</v>
      </c>
      <c r="I272" s="3" t="str">
        <f aca="false">Feuil1!I272</f>
        <v>Skis Alpin </v>
      </c>
      <c r="J272" s="3" t="str">
        <f aca="false">Feuil1!J272</f>
        <v>salomon candy</v>
      </c>
      <c r="K272" s="3" t="str">
        <f aca="false">Feuil1!K272</f>
        <v>100 cm</v>
      </c>
      <c r="L272" s="3" t="n">
        <f aca="false">Feuil1!L272</f>
        <v>45</v>
      </c>
      <c r="M272" s="1" t="s">
        <v>17</v>
      </c>
      <c r="N272" s="1" t="s">
        <v>18</v>
      </c>
      <c r="O272" s="1" t="s">
        <v>19</v>
      </c>
      <c r="P272" s="4" t="n">
        <v>45973.466099537</v>
      </c>
      <c r="Q272" s="4" t="n">
        <v>45973.466099537</v>
      </c>
    </row>
    <row r="273" customFormat="false" ht="15" hidden="false" customHeight="false" outlineLevel="0" collapsed="false">
      <c r="A273" s="1" t="str">
        <f aca="false">Feuil1!H273</f>
        <v>54018</v>
      </c>
      <c r="B273" s="1" t="s">
        <v>17</v>
      </c>
      <c r="C273" s="1" t="s">
        <v>17</v>
      </c>
      <c r="D273" s="1" t="s">
        <v>17</v>
      </c>
      <c r="E273" s="1" t="s">
        <v>17</v>
      </c>
      <c r="F273" s="1" t="s">
        <v>17</v>
      </c>
      <c r="G273" s="1" t="s">
        <v>17</v>
      </c>
      <c r="H273" s="1" t="s">
        <v>17</v>
      </c>
      <c r="I273" s="3" t="str">
        <f aca="false">Feuil1!I273</f>
        <v>Skis Alpin </v>
      </c>
      <c r="J273" s="3" t="str">
        <f aca="false">Feuil1!J273</f>
        <v>volkl jr</v>
      </c>
      <c r="K273" s="3" t="str">
        <f aca="false">Feuil1!K273</f>
        <v>90 cm</v>
      </c>
      <c r="L273" s="3" t="n">
        <f aca="false">Feuil1!L273</f>
        <v>45</v>
      </c>
      <c r="M273" s="1" t="s">
        <v>17</v>
      </c>
      <c r="N273" s="1" t="s">
        <v>18</v>
      </c>
      <c r="O273" s="1" t="s">
        <v>19</v>
      </c>
      <c r="P273" s="4" t="n">
        <v>45973.466099537</v>
      </c>
      <c r="Q273" s="4" t="n">
        <v>45973.466099537</v>
      </c>
    </row>
    <row r="274" customFormat="false" ht="15" hidden="false" customHeight="false" outlineLevel="0" collapsed="false">
      <c r="A274" s="1" t="str">
        <f aca="false">Feuil1!H274</f>
        <v>54019</v>
      </c>
      <c r="B274" s="1" t="s">
        <v>17</v>
      </c>
      <c r="C274" s="1" t="s">
        <v>17</v>
      </c>
      <c r="D274" s="1" t="s">
        <v>17</v>
      </c>
      <c r="E274" s="1" t="s">
        <v>17</v>
      </c>
      <c r="F274" s="1" t="s">
        <v>17</v>
      </c>
      <c r="G274" s="1" t="s">
        <v>17</v>
      </c>
      <c r="H274" s="1" t="s">
        <v>17</v>
      </c>
      <c r="I274" s="3" t="str">
        <f aca="false">Feuil1!I274</f>
        <v>Skis Alpin </v>
      </c>
      <c r="J274" s="3" t="str">
        <f aca="false">Feuil1!J274</f>
        <v>volkl jr</v>
      </c>
      <c r="K274" s="3" t="str">
        <f aca="false">Feuil1!K274</f>
        <v>90 cm</v>
      </c>
      <c r="L274" s="3" t="n">
        <f aca="false">Feuil1!L274</f>
        <v>45</v>
      </c>
      <c r="M274" s="1" t="s">
        <v>17</v>
      </c>
      <c r="N274" s="1" t="s">
        <v>18</v>
      </c>
      <c r="O274" s="1" t="s">
        <v>19</v>
      </c>
      <c r="P274" s="4" t="n">
        <v>45973.466099537</v>
      </c>
      <c r="Q274" s="4" t="n">
        <v>45973.466099537</v>
      </c>
    </row>
    <row r="275" customFormat="false" ht="15" hidden="false" customHeight="false" outlineLevel="0" collapsed="false">
      <c r="A275" s="1" t="str">
        <f aca="false">Feuil1!H275</f>
        <v>54020</v>
      </c>
      <c r="B275" s="1" t="s">
        <v>17</v>
      </c>
      <c r="C275" s="1" t="s">
        <v>17</v>
      </c>
      <c r="D275" s="1" t="s">
        <v>17</v>
      </c>
      <c r="E275" s="1" t="s">
        <v>17</v>
      </c>
      <c r="F275" s="1" t="s">
        <v>17</v>
      </c>
      <c r="G275" s="1" t="s">
        <v>17</v>
      </c>
      <c r="H275" s="1" t="s">
        <v>17</v>
      </c>
      <c r="I275" s="3" t="str">
        <f aca="false">Feuil1!I275</f>
        <v>Skis Alpin </v>
      </c>
      <c r="J275" s="3" t="str">
        <f aca="false">Feuil1!J275</f>
        <v>salomon rs</v>
      </c>
      <c r="K275" s="3" t="str">
        <f aca="false">Feuil1!K275</f>
        <v>90 cm</v>
      </c>
      <c r="L275" s="3" t="n">
        <f aca="false">Feuil1!L275</f>
        <v>45</v>
      </c>
      <c r="M275" s="1" t="s">
        <v>17</v>
      </c>
      <c r="N275" s="1" t="s">
        <v>18</v>
      </c>
      <c r="O275" s="1" t="s">
        <v>19</v>
      </c>
      <c r="P275" s="4" t="n">
        <v>45973.466099537</v>
      </c>
      <c r="Q275" s="4" t="n">
        <v>45973.466099537</v>
      </c>
    </row>
    <row r="276" customFormat="false" ht="15" hidden="false" customHeight="false" outlineLevel="0" collapsed="false">
      <c r="A276" s="1" t="str">
        <f aca="false">Feuil1!H276</f>
        <v>54021</v>
      </c>
      <c r="B276" s="1" t="s">
        <v>17</v>
      </c>
      <c r="C276" s="1" t="s">
        <v>17</v>
      </c>
      <c r="D276" s="1" t="s">
        <v>17</v>
      </c>
      <c r="E276" s="1" t="s">
        <v>17</v>
      </c>
      <c r="F276" s="1" t="s">
        <v>17</v>
      </c>
      <c r="G276" s="1" t="s">
        <v>17</v>
      </c>
      <c r="H276" s="1" t="s">
        <v>17</v>
      </c>
      <c r="I276" s="3" t="str">
        <f aca="false">Feuil1!I276</f>
        <v>Skis Alpin </v>
      </c>
      <c r="J276" s="3" t="str">
        <f aca="false">Feuil1!J276</f>
        <v>wedze one</v>
      </c>
      <c r="K276" s="3" t="str">
        <f aca="false">Feuil1!K276</f>
        <v>90 cm</v>
      </c>
      <c r="L276" s="3" t="n">
        <f aca="false">Feuil1!L276</f>
        <v>45</v>
      </c>
      <c r="M276" s="1" t="s">
        <v>17</v>
      </c>
      <c r="N276" s="1" t="s">
        <v>18</v>
      </c>
      <c r="O276" s="1" t="s">
        <v>19</v>
      </c>
      <c r="P276" s="4" t="n">
        <v>45973.466099537</v>
      </c>
      <c r="Q276" s="4" t="n">
        <v>45973.466099537</v>
      </c>
    </row>
    <row r="277" customFormat="false" ht="15" hidden="false" customHeight="false" outlineLevel="0" collapsed="false">
      <c r="A277" s="1" t="str">
        <f aca="false">Feuil1!H277</f>
        <v>54022</v>
      </c>
      <c r="B277" s="1" t="s">
        <v>17</v>
      </c>
      <c r="C277" s="1" t="s">
        <v>17</v>
      </c>
      <c r="D277" s="1" t="s">
        <v>17</v>
      </c>
      <c r="E277" s="1" t="s">
        <v>17</v>
      </c>
      <c r="F277" s="1" t="s">
        <v>17</v>
      </c>
      <c r="G277" s="1" t="s">
        <v>17</v>
      </c>
      <c r="H277" s="1" t="s">
        <v>17</v>
      </c>
      <c r="I277" s="3" t="str">
        <f aca="false">Feuil1!I277</f>
        <v>Skis Alpin </v>
      </c>
      <c r="J277" s="3" t="str">
        <f aca="false">Feuil1!J277</f>
        <v>wedze one</v>
      </c>
      <c r="K277" s="3" t="str">
        <f aca="false">Feuil1!K277</f>
        <v>90 cm</v>
      </c>
      <c r="L277" s="3" t="n">
        <f aca="false">Feuil1!L277</f>
        <v>45</v>
      </c>
      <c r="M277" s="1" t="s">
        <v>17</v>
      </c>
      <c r="N277" s="1" t="s">
        <v>18</v>
      </c>
      <c r="O277" s="1" t="s">
        <v>19</v>
      </c>
      <c r="P277" s="4" t="n">
        <v>45973.466099537</v>
      </c>
      <c r="Q277" s="4" t="n">
        <v>45973.466099537</v>
      </c>
    </row>
    <row r="278" customFormat="false" ht="15" hidden="false" customHeight="false" outlineLevel="0" collapsed="false">
      <c r="A278" s="1" t="str">
        <f aca="false">Feuil1!H278</f>
        <v>54023</v>
      </c>
      <c r="B278" s="1" t="s">
        <v>17</v>
      </c>
      <c r="C278" s="1" t="s">
        <v>17</v>
      </c>
      <c r="D278" s="1" t="s">
        <v>17</v>
      </c>
      <c r="E278" s="1" t="s">
        <v>17</v>
      </c>
      <c r="F278" s="1" t="s">
        <v>17</v>
      </c>
      <c r="G278" s="1" t="s">
        <v>17</v>
      </c>
      <c r="H278" s="1" t="s">
        <v>17</v>
      </c>
      <c r="I278" s="3" t="str">
        <f aca="false">Feuil1!I278</f>
        <v>Skis Alpin </v>
      </c>
      <c r="J278" s="3" t="str">
        <f aca="false">Feuil1!J278</f>
        <v>elan jade</v>
      </c>
      <c r="K278" s="3" t="str">
        <f aca="false">Feuil1!K278</f>
        <v>90 cm</v>
      </c>
      <c r="L278" s="3" t="n">
        <f aca="false">Feuil1!L278</f>
        <v>39</v>
      </c>
      <c r="M278" s="1" t="s">
        <v>17</v>
      </c>
      <c r="N278" s="1" t="s">
        <v>18</v>
      </c>
      <c r="O278" s="1" t="s">
        <v>19</v>
      </c>
      <c r="P278" s="4" t="n">
        <v>45973.466099537</v>
      </c>
      <c r="Q278" s="4" t="n">
        <v>45973.466099537</v>
      </c>
    </row>
    <row r="279" customFormat="false" ht="15" hidden="false" customHeight="false" outlineLevel="0" collapsed="false">
      <c r="A279" s="1" t="str">
        <f aca="false">Feuil1!H279</f>
        <v>54024</v>
      </c>
      <c r="B279" s="1" t="s">
        <v>17</v>
      </c>
      <c r="C279" s="1" t="s">
        <v>17</v>
      </c>
      <c r="D279" s="1" t="s">
        <v>17</v>
      </c>
      <c r="E279" s="1" t="s">
        <v>17</v>
      </c>
      <c r="F279" s="1" t="s">
        <v>17</v>
      </c>
      <c r="G279" s="1" t="s">
        <v>17</v>
      </c>
      <c r="H279" s="1" t="s">
        <v>17</v>
      </c>
      <c r="I279" s="3" t="str">
        <f aca="false">Feuil1!I279</f>
        <v>Skis Alpin </v>
      </c>
      <c r="J279" s="3" t="str">
        <f aca="false">Feuil1!J279</f>
        <v>rossignol jr</v>
      </c>
      <c r="K279" s="3" t="str">
        <f aca="false">Feuil1!K279</f>
        <v>93 cm</v>
      </c>
      <c r="L279" s="3" t="n">
        <f aca="false">Feuil1!L279</f>
        <v>45</v>
      </c>
      <c r="M279" s="1" t="s">
        <v>17</v>
      </c>
      <c r="N279" s="1" t="s">
        <v>18</v>
      </c>
      <c r="O279" s="1" t="s">
        <v>19</v>
      </c>
      <c r="P279" s="4" t="n">
        <v>45973.466099537</v>
      </c>
      <c r="Q279" s="4" t="n">
        <v>45973.466099537</v>
      </c>
    </row>
    <row r="280" customFormat="false" ht="15" hidden="false" customHeight="false" outlineLevel="0" collapsed="false">
      <c r="A280" s="1" t="str">
        <f aca="false">Feuil1!H280</f>
        <v>54025</v>
      </c>
      <c r="B280" s="1" t="s">
        <v>17</v>
      </c>
      <c r="C280" s="1" t="s">
        <v>17</v>
      </c>
      <c r="D280" s="1" t="s">
        <v>17</v>
      </c>
      <c r="E280" s="1" t="s">
        <v>17</v>
      </c>
      <c r="F280" s="1" t="s">
        <v>17</v>
      </c>
      <c r="G280" s="1" t="s">
        <v>17</v>
      </c>
      <c r="H280" s="1" t="s">
        <v>17</v>
      </c>
      <c r="I280" s="3" t="str">
        <f aca="false">Feuil1!I280</f>
        <v>Skis Alpin </v>
      </c>
      <c r="J280" s="3" t="str">
        <f aca="false">Feuil1!J280</f>
        <v>rossignol kidi</v>
      </c>
      <c r="K280" s="3" t="str">
        <f aca="false">Feuil1!K280</f>
        <v>93 cm</v>
      </c>
      <c r="L280" s="3" t="n">
        <f aca="false">Feuil1!L280</f>
        <v>45</v>
      </c>
      <c r="M280" s="1" t="s">
        <v>17</v>
      </c>
      <c r="N280" s="1" t="s">
        <v>18</v>
      </c>
      <c r="O280" s="1" t="s">
        <v>19</v>
      </c>
      <c r="P280" s="4" t="n">
        <v>45973.466099537</v>
      </c>
      <c r="Q280" s="4" t="n">
        <v>45973.466099537</v>
      </c>
    </row>
    <row r="281" customFormat="false" ht="15" hidden="false" customHeight="false" outlineLevel="0" collapsed="false">
      <c r="A281" s="1" t="str">
        <f aca="false">Feuil1!H281</f>
        <v>54026</v>
      </c>
      <c r="B281" s="1" t="s">
        <v>17</v>
      </c>
      <c r="C281" s="1" t="s">
        <v>17</v>
      </c>
      <c r="D281" s="1" t="s">
        <v>17</v>
      </c>
      <c r="E281" s="1" t="s">
        <v>17</v>
      </c>
      <c r="F281" s="1" t="s">
        <v>17</v>
      </c>
      <c r="G281" s="1" t="s">
        <v>17</v>
      </c>
      <c r="H281" s="1" t="s">
        <v>17</v>
      </c>
      <c r="I281" s="3" t="str">
        <f aca="false">Feuil1!I281</f>
        <v>Skis Alpin </v>
      </c>
      <c r="J281" s="3" t="str">
        <f aca="false">Feuil1!J281</f>
        <v>rossignol kidi</v>
      </c>
      <c r="K281" s="3" t="str">
        <f aca="false">Feuil1!K281</f>
        <v>93 cm</v>
      </c>
      <c r="L281" s="3" t="n">
        <f aca="false">Feuil1!L281</f>
        <v>45</v>
      </c>
      <c r="M281" s="1" t="s">
        <v>17</v>
      </c>
      <c r="N281" s="1" t="s">
        <v>18</v>
      </c>
      <c r="O281" s="1" t="s">
        <v>19</v>
      </c>
      <c r="P281" s="4" t="n">
        <v>45973.466099537</v>
      </c>
      <c r="Q281" s="4" t="n">
        <v>45973.466099537</v>
      </c>
    </row>
    <row r="282" customFormat="false" ht="15" hidden="false" customHeight="false" outlineLevel="0" collapsed="false">
      <c r="A282" s="1" t="str">
        <f aca="false">Feuil1!H282</f>
        <v>54027</v>
      </c>
      <c r="B282" s="1" t="s">
        <v>17</v>
      </c>
      <c r="C282" s="1" t="s">
        <v>17</v>
      </c>
      <c r="D282" s="1" t="s">
        <v>17</v>
      </c>
      <c r="E282" s="1" t="s">
        <v>17</v>
      </c>
      <c r="F282" s="1" t="s">
        <v>17</v>
      </c>
      <c r="G282" s="1" t="s">
        <v>17</v>
      </c>
      <c r="H282" s="1" t="s">
        <v>17</v>
      </c>
      <c r="I282" s="3" t="str">
        <f aca="false">Feuil1!I282</f>
        <v>Skis Alpin </v>
      </c>
      <c r="J282" s="3" t="str">
        <f aca="false">Feuil1!J282</f>
        <v>starwars </v>
      </c>
      <c r="K282" s="3" t="str">
        <f aca="false">Feuil1!K282</f>
        <v>93 cm</v>
      </c>
      <c r="L282" s="3" t="n">
        <f aca="false">Feuil1!L282</f>
        <v>45</v>
      </c>
      <c r="M282" s="1" t="s">
        <v>17</v>
      </c>
      <c r="N282" s="1" t="s">
        <v>18</v>
      </c>
      <c r="O282" s="1" t="s">
        <v>19</v>
      </c>
      <c r="P282" s="4" t="n">
        <v>45973.466099537</v>
      </c>
      <c r="Q282" s="4" t="n">
        <v>45973.466099537</v>
      </c>
    </row>
    <row r="283" customFormat="false" ht="15" hidden="false" customHeight="false" outlineLevel="0" collapsed="false">
      <c r="A283" s="1" t="str">
        <f aca="false">Feuil1!H283</f>
        <v>54028</v>
      </c>
      <c r="B283" s="1" t="s">
        <v>17</v>
      </c>
      <c r="C283" s="1" t="s">
        <v>17</v>
      </c>
      <c r="D283" s="1" t="s">
        <v>17</v>
      </c>
      <c r="E283" s="1" t="s">
        <v>17</v>
      </c>
      <c r="F283" s="1" t="s">
        <v>17</v>
      </c>
      <c r="G283" s="1" t="s">
        <v>17</v>
      </c>
      <c r="H283" s="1" t="s">
        <v>17</v>
      </c>
      <c r="I283" s="3" t="str">
        <f aca="false">Feuil1!I283</f>
        <v>Skis Alpin </v>
      </c>
      <c r="J283" s="3" t="str">
        <f aca="false">Feuil1!J283</f>
        <v>rossignol kidi</v>
      </c>
      <c r="K283" s="3" t="str">
        <f aca="false">Feuil1!K283</f>
        <v>80 cm</v>
      </c>
      <c r="L283" s="3" t="n">
        <f aca="false">Feuil1!L283</f>
        <v>45</v>
      </c>
      <c r="M283" s="1" t="s">
        <v>17</v>
      </c>
      <c r="N283" s="1" t="s">
        <v>18</v>
      </c>
      <c r="O283" s="1" t="s">
        <v>19</v>
      </c>
      <c r="P283" s="4" t="n">
        <v>45973.466099537</v>
      </c>
      <c r="Q283" s="4" t="n">
        <v>45973.466099537</v>
      </c>
    </row>
    <row r="284" customFormat="false" ht="15" hidden="false" customHeight="false" outlineLevel="0" collapsed="false">
      <c r="A284" s="1" t="str">
        <f aca="false">Feuil1!H284</f>
        <v>54029</v>
      </c>
      <c r="B284" s="1" t="s">
        <v>17</v>
      </c>
      <c r="C284" s="1" t="s">
        <v>17</v>
      </c>
      <c r="D284" s="1" t="s">
        <v>17</v>
      </c>
      <c r="E284" s="1" t="s">
        <v>17</v>
      </c>
      <c r="F284" s="1" t="s">
        <v>17</v>
      </c>
      <c r="G284" s="1" t="s">
        <v>17</v>
      </c>
      <c r="H284" s="1" t="s">
        <v>17</v>
      </c>
      <c r="I284" s="3" t="str">
        <f aca="false">Feuil1!I284</f>
        <v>Skis Alpin </v>
      </c>
      <c r="J284" s="3" t="str">
        <f aca="false">Feuil1!J284</f>
        <v>rossignol kidi</v>
      </c>
      <c r="K284" s="3" t="str">
        <f aca="false">Feuil1!K284</f>
        <v>80 cm</v>
      </c>
      <c r="L284" s="3" t="n">
        <f aca="false">Feuil1!L284</f>
        <v>45</v>
      </c>
      <c r="M284" s="1" t="s">
        <v>17</v>
      </c>
      <c r="N284" s="1" t="s">
        <v>18</v>
      </c>
      <c r="O284" s="1" t="s">
        <v>19</v>
      </c>
      <c r="P284" s="4" t="n">
        <v>45973.466099537</v>
      </c>
      <c r="Q284" s="4" t="n">
        <v>45973.466099537</v>
      </c>
    </row>
    <row r="285" customFormat="false" ht="15" hidden="false" customHeight="false" outlineLevel="0" collapsed="false">
      <c r="A285" s="1" t="str">
        <f aca="false">Feuil1!H285</f>
        <v>54030</v>
      </c>
      <c r="B285" s="1" t="s">
        <v>17</v>
      </c>
      <c r="C285" s="1" t="s">
        <v>17</v>
      </c>
      <c r="D285" s="1" t="s">
        <v>17</v>
      </c>
      <c r="E285" s="1" t="s">
        <v>17</v>
      </c>
      <c r="F285" s="1" t="s">
        <v>17</v>
      </c>
      <c r="G285" s="1" t="s">
        <v>17</v>
      </c>
      <c r="H285" s="1" t="s">
        <v>17</v>
      </c>
      <c r="I285" s="3" t="str">
        <f aca="false">Feuil1!I285</f>
        <v>Skis Alpin </v>
      </c>
      <c r="J285" s="3" t="str">
        <f aca="false">Feuil1!J285</f>
        <v>rossignol jr</v>
      </c>
      <c r="K285" s="3" t="str">
        <f aca="false">Feuil1!K285</f>
        <v>80 cm</v>
      </c>
      <c r="L285" s="3" t="n">
        <f aca="false">Feuil1!L285</f>
        <v>45</v>
      </c>
      <c r="M285" s="1" t="s">
        <v>17</v>
      </c>
      <c r="N285" s="1" t="s">
        <v>18</v>
      </c>
      <c r="O285" s="1" t="s">
        <v>19</v>
      </c>
      <c r="P285" s="4" t="n">
        <v>45973.466099537</v>
      </c>
      <c r="Q285" s="4" t="n">
        <v>45973.466099537</v>
      </c>
    </row>
    <row r="286" customFormat="false" ht="15" hidden="false" customHeight="false" outlineLevel="0" collapsed="false">
      <c r="A286" s="1" t="str">
        <f aca="false">Feuil1!H286</f>
        <v>54031</v>
      </c>
      <c r="B286" s="1" t="s">
        <v>17</v>
      </c>
      <c r="C286" s="1" t="s">
        <v>17</v>
      </c>
      <c r="D286" s="1" t="s">
        <v>17</v>
      </c>
      <c r="E286" s="1" t="s">
        <v>17</v>
      </c>
      <c r="F286" s="1" t="s">
        <v>17</v>
      </c>
      <c r="G286" s="1" t="s">
        <v>17</v>
      </c>
      <c r="H286" s="1" t="s">
        <v>17</v>
      </c>
      <c r="I286" s="3" t="str">
        <f aca="false">Feuil1!I286</f>
        <v>Skis Alpin </v>
      </c>
      <c r="J286" s="3" t="str">
        <f aca="false">Feuil1!J286</f>
        <v>wedze one</v>
      </c>
      <c r="K286" s="3" t="str">
        <f aca="false">Feuil1!K286</f>
        <v>80 cm</v>
      </c>
      <c r="L286" s="3" t="n">
        <f aca="false">Feuil1!L286</f>
        <v>45</v>
      </c>
      <c r="M286" s="1" t="s">
        <v>17</v>
      </c>
      <c r="N286" s="1" t="s">
        <v>18</v>
      </c>
      <c r="O286" s="1" t="s">
        <v>19</v>
      </c>
      <c r="P286" s="4" t="n">
        <v>45973.466099537</v>
      </c>
      <c r="Q286" s="4" t="n">
        <v>45973.466099537</v>
      </c>
    </row>
    <row r="287" customFormat="false" ht="15" hidden="false" customHeight="false" outlineLevel="0" collapsed="false">
      <c r="A287" s="1" t="str">
        <f aca="false">Feuil1!H287</f>
        <v>54032</v>
      </c>
      <c r="B287" s="1" t="s">
        <v>17</v>
      </c>
      <c r="C287" s="1" t="s">
        <v>17</v>
      </c>
      <c r="D287" s="1" t="s">
        <v>17</v>
      </c>
      <c r="E287" s="1" t="s">
        <v>17</v>
      </c>
      <c r="F287" s="1" t="s">
        <v>17</v>
      </c>
      <c r="G287" s="1" t="s">
        <v>17</v>
      </c>
      <c r="H287" s="1" t="s">
        <v>17</v>
      </c>
      <c r="I287" s="3" t="str">
        <f aca="false">Feuil1!I287</f>
        <v>Skis Alpin </v>
      </c>
      <c r="J287" s="3" t="str">
        <f aca="false">Feuil1!J287</f>
        <v>wedze one</v>
      </c>
      <c r="K287" s="3" t="str">
        <f aca="false">Feuil1!K287</f>
        <v>80 cm</v>
      </c>
      <c r="L287" s="3" t="n">
        <f aca="false">Feuil1!L287</f>
        <v>45</v>
      </c>
      <c r="M287" s="1" t="s">
        <v>17</v>
      </c>
      <c r="N287" s="1" t="s">
        <v>18</v>
      </c>
      <c r="O287" s="1" t="s">
        <v>19</v>
      </c>
      <c r="P287" s="4" t="n">
        <v>45973.466099537</v>
      </c>
      <c r="Q287" s="4" t="n">
        <v>45973.466099537</v>
      </c>
    </row>
    <row r="288" customFormat="false" ht="15" hidden="false" customHeight="false" outlineLevel="0" collapsed="false">
      <c r="A288" s="1" t="str">
        <f aca="false">Feuil1!H288</f>
        <v>54033</v>
      </c>
      <c r="B288" s="1" t="s">
        <v>17</v>
      </c>
      <c r="C288" s="1" t="s">
        <v>17</v>
      </c>
      <c r="D288" s="1" t="s">
        <v>17</v>
      </c>
      <c r="E288" s="1" t="s">
        <v>17</v>
      </c>
      <c r="F288" s="1" t="s">
        <v>17</v>
      </c>
      <c r="G288" s="1" t="s">
        <v>17</v>
      </c>
      <c r="H288" s="1" t="s">
        <v>17</v>
      </c>
      <c r="I288" s="3" t="str">
        <f aca="false">Feuil1!I288</f>
        <v>Skis Alpin </v>
      </c>
      <c r="J288" s="3" t="str">
        <f aca="false">Feuil1!J288</f>
        <v>wedze one</v>
      </c>
      <c r="K288" s="3" t="str">
        <f aca="false">Feuil1!K288</f>
        <v>80 cm</v>
      </c>
      <c r="L288" s="3" t="n">
        <f aca="false">Feuil1!L288</f>
        <v>45</v>
      </c>
      <c r="M288" s="1" t="s">
        <v>17</v>
      </c>
      <c r="N288" s="1" t="s">
        <v>18</v>
      </c>
      <c r="O288" s="1" t="s">
        <v>19</v>
      </c>
      <c r="P288" s="4" t="n">
        <v>45973.466099537</v>
      </c>
      <c r="Q288" s="4" t="n">
        <v>45973.466099537</v>
      </c>
    </row>
    <row r="289" customFormat="false" ht="15" hidden="false" customHeight="false" outlineLevel="0" collapsed="false">
      <c r="A289" s="1" t="str">
        <f aca="false">Feuil1!H289</f>
        <v>54034</v>
      </c>
      <c r="B289" s="1" t="s">
        <v>17</v>
      </c>
      <c r="C289" s="1" t="s">
        <v>17</v>
      </c>
      <c r="D289" s="1" t="s">
        <v>17</v>
      </c>
      <c r="E289" s="1" t="s">
        <v>17</v>
      </c>
      <c r="F289" s="1" t="s">
        <v>17</v>
      </c>
      <c r="G289" s="1" t="s">
        <v>17</v>
      </c>
      <c r="H289" s="1" t="s">
        <v>17</v>
      </c>
      <c r="I289" s="3" t="str">
        <f aca="false">Feuil1!I289</f>
        <v>Skis Alpin </v>
      </c>
      <c r="J289" s="3" t="str">
        <f aca="false">Feuil1!J289</f>
        <v>xo one</v>
      </c>
      <c r="K289" s="3" t="str">
        <f aca="false">Feuil1!K289</f>
        <v>178 cm</v>
      </c>
      <c r="L289" s="3" t="n">
        <f aca="false">Feuil1!L289</f>
        <v>149</v>
      </c>
      <c r="M289" s="1" t="s">
        <v>17</v>
      </c>
      <c r="N289" s="1" t="s">
        <v>18</v>
      </c>
      <c r="O289" s="1" t="s">
        <v>19</v>
      </c>
      <c r="P289" s="4" t="n">
        <v>45973.466099537</v>
      </c>
      <c r="Q289" s="4" t="n">
        <v>45973.466099537</v>
      </c>
    </row>
    <row r="290" customFormat="false" ht="15" hidden="false" customHeight="false" outlineLevel="0" collapsed="false">
      <c r="A290" s="1" t="str">
        <f aca="false">Feuil1!H290</f>
        <v>54035</v>
      </c>
      <c r="B290" s="1" t="s">
        <v>17</v>
      </c>
      <c r="C290" s="1" t="s">
        <v>17</v>
      </c>
      <c r="D290" s="1" t="s">
        <v>17</v>
      </c>
      <c r="E290" s="1" t="s">
        <v>17</v>
      </c>
      <c r="F290" s="1" t="s">
        <v>17</v>
      </c>
      <c r="G290" s="1" t="s">
        <v>17</v>
      </c>
      <c r="H290" s="1" t="s">
        <v>17</v>
      </c>
      <c r="I290" s="3" t="str">
        <f aca="false">Feuil1!I290</f>
        <v>Skis Alpin </v>
      </c>
      <c r="J290" s="3" t="str">
        <f aca="false">Feuil1!J290</f>
        <v>nordica spitfire</v>
      </c>
      <c r="K290" s="3" t="str">
        <f aca="false">Feuil1!K290</f>
        <v>168 cm</v>
      </c>
      <c r="L290" s="3" t="n">
        <f aca="false">Feuil1!L290</f>
        <v>115</v>
      </c>
      <c r="M290" s="1" t="s">
        <v>17</v>
      </c>
      <c r="N290" s="1" t="s">
        <v>18</v>
      </c>
      <c r="O290" s="1" t="s">
        <v>19</v>
      </c>
      <c r="P290" s="4" t="n">
        <v>45973.466099537</v>
      </c>
      <c r="Q290" s="4" t="n">
        <v>45973.466099537</v>
      </c>
    </row>
    <row r="291" customFormat="false" ht="15" hidden="false" customHeight="false" outlineLevel="0" collapsed="false">
      <c r="A291" s="1" t="str">
        <f aca="false">Feuil1!H291</f>
        <v>54036</v>
      </c>
      <c r="B291" s="1" t="s">
        <v>17</v>
      </c>
      <c r="C291" s="1" t="s">
        <v>17</v>
      </c>
      <c r="D291" s="1" t="s">
        <v>17</v>
      </c>
      <c r="E291" s="1" t="s">
        <v>17</v>
      </c>
      <c r="F291" s="1" t="s">
        <v>17</v>
      </c>
      <c r="G291" s="1" t="s">
        <v>17</v>
      </c>
      <c r="H291" s="1" t="s">
        <v>17</v>
      </c>
      <c r="I291" s="3" t="str">
        <f aca="false">Feuil1!I291</f>
        <v>Skis Alpin </v>
      </c>
      <c r="J291" s="3" t="str">
        <f aca="false">Feuil1!J291</f>
        <v>dynastar menace</v>
      </c>
      <c r="K291" s="3" t="str">
        <f aca="false">Feuil1!K291</f>
        <v>170 cm</v>
      </c>
      <c r="L291" s="3" t="n">
        <f aca="false">Feuil1!L291</f>
        <v>125</v>
      </c>
      <c r="M291" s="1" t="s">
        <v>17</v>
      </c>
      <c r="N291" s="1" t="s">
        <v>18</v>
      </c>
      <c r="O291" s="1" t="s">
        <v>19</v>
      </c>
      <c r="P291" s="4" t="n">
        <v>45973.466099537</v>
      </c>
      <c r="Q291" s="4" t="n">
        <v>45973.466099537</v>
      </c>
    </row>
    <row r="292" customFormat="false" ht="15" hidden="false" customHeight="false" outlineLevel="0" collapsed="false">
      <c r="A292" s="1" t="str">
        <f aca="false">Feuil1!H292</f>
        <v>54037</v>
      </c>
      <c r="B292" s="1" t="s">
        <v>17</v>
      </c>
      <c r="C292" s="1" t="s">
        <v>17</v>
      </c>
      <c r="D292" s="1" t="s">
        <v>17</v>
      </c>
      <c r="E292" s="1" t="s">
        <v>17</v>
      </c>
      <c r="F292" s="1" t="s">
        <v>17</v>
      </c>
      <c r="G292" s="1" t="s">
        <v>17</v>
      </c>
      <c r="H292" s="1" t="s">
        <v>17</v>
      </c>
      <c r="I292" s="3" t="str">
        <f aca="false">Feuil1!I292</f>
        <v>Skis Alpin </v>
      </c>
      <c r="J292" s="3" t="str">
        <f aca="false">Feuil1!J292</f>
        <v>dynastar M free</v>
      </c>
      <c r="K292" s="3" t="str">
        <f aca="false">Feuil1!K292</f>
        <v>154 cm</v>
      </c>
      <c r="L292" s="3" t="n">
        <f aca="false">Feuil1!L292</f>
        <v>245</v>
      </c>
      <c r="M292" s="1" t="s">
        <v>17</v>
      </c>
      <c r="N292" s="1" t="s">
        <v>18</v>
      </c>
      <c r="O292" s="1" t="s">
        <v>19</v>
      </c>
      <c r="P292" s="4" t="n">
        <v>45973.466099537</v>
      </c>
      <c r="Q292" s="4" t="n">
        <v>45973.466099537</v>
      </c>
    </row>
    <row r="293" customFormat="false" ht="15" hidden="false" customHeight="false" outlineLevel="0" collapsed="false">
      <c r="A293" s="1" t="str">
        <f aca="false">Feuil1!H293</f>
        <v>54038</v>
      </c>
      <c r="B293" s="1" t="s">
        <v>17</v>
      </c>
      <c r="C293" s="1" t="s">
        <v>17</v>
      </c>
      <c r="D293" s="1" t="s">
        <v>17</v>
      </c>
      <c r="E293" s="1" t="s">
        <v>17</v>
      </c>
      <c r="F293" s="1" t="s">
        <v>17</v>
      </c>
      <c r="G293" s="1" t="s">
        <v>17</v>
      </c>
      <c r="H293" s="1" t="s">
        <v>17</v>
      </c>
      <c r="I293" s="3" t="str">
        <f aca="false">Feuil1!I293</f>
        <v>Skis Alpin </v>
      </c>
      <c r="J293" s="3" t="str">
        <f aca="false">Feuil1!J293</f>
        <v>dynastar speed 4x4</v>
      </c>
      <c r="K293" s="3" t="str">
        <f aca="false">Feuil1!K293</f>
        <v>179 cm</v>
      </c>
      <c r="L293" s="3" t="n">
        <f aca="false">Feuil1!L293</f>
        <v>195</v>
      </c>
      <c r="M293" s="1" t="s">
        <v>17</v>
      </c>
      <c r="N293" s="1" t="s">
        <v>18</v>
      </c>
      <c r="O293" s="1" t="s">
        <v>19</v>
      </c>
      <c r="P293" s="4" t="n">
        <v>45973.466099537</v>
      </c>
      <c r="Q293" s="4" t="n">
        <v>45973.466099537</v>
      </c>
    </row>
    <row r="294" customFormat="false" ht="15" hidden="false" customHeight="false" outlineLevel="0" collapsed="false">
      <c r="A294" s="1" t="str">
        <f aca="false">Feuil1!H294</f>
        <v>54039</v>
      </c>
      <c r="B294" s="1" t="s">
        <v>17</v>
      </c>
      <c r="C294" s="1" t="s">
        <v>17</v>
      </c>
      <c r="D294" s="1" t="s">
        <v>17</v>
      </c>
      <c r="E294" s="1" t="s">
        <v>17</v>
      </c>
      <c r="F294" s="1" t="s">
        <v>17</v>
      </c>
      <c r="G294" s="1" t="s">
        <v>17</v>
      </c>
      <c r="H294" s="1" t="s">
        <v>17</v>
      </c>
      <c r="I294" s="3" t="str">
        <f aca="false">Feuil1!I294</f>
        <v>Skis Alpin </v>
      </c>
      <c r="J294" s="3" t="str">
        <f aca="false">Feuil1!J294</f>
        <v>rossignol exp</v>
      </c>
      <c r="K294" s="3" t="str">
        <f aca="false">Feuil1!K294</f>
        <v>174 cm</v>
      </c>
      <c r="L294" s="3" t="n">
        <f aca="false">Feuil1!L294</f>
        <v>115</v>
      </c>
      <c r="M294" s="1" t="s">
        <v>17</v>
      </c>
      <c r="N294" s="1" t="s">
        <v>18</v>
      </c>
      <c r="O294" s="1" t="s">
        <v>19</v>
      </c>
      <c r="P294" s="4" t="n">
        <v>45973.466099537</v>
      </c>
      <c r="Q294" s="4" t="n">
        <v>45973.466099537</v>
      </c>
    </row>
    <row r="295" customFormat="false" ht="15" hidden="false" customHeight="false" outlineLevel="0" collapsed="false">
      <c r="A295" s="1" t="str">
        <f aca="false">Feuil1!H295</f>
        <v>54040</v>
      </c>
      <c r="B295" s="1" t="s">
        <v>17</v>
      </c>
      <c r="C295" s="1" t="s">
        <v>17</v>
      </c>
      <c r="D295" s="1" t="s">
        <v>17</v>
      </c>
      <c r="E295" s="1" t="s">
        <v>17</v>
      </c>
      <c r="F295" s="1" t="s">
        <v>17</v>
      </c>
      <c r="G295" s="1" t="s">
        <v>17</v>
      </c>
      <c r="H295" s="1" t="s">
        <v>17</v>
      </c>
      <c r="I295" s="3" t="str">
        <f aca="false">Feuil1!I295</f>
        <v>Skis Alpin </v>
      </c>
      <c r="J295" s="3" t="str">
        <f aca="false">Feuil1!J295</f>
        <v>rossignol exp</v>
      </c>
      <c r="K295" s="3" t="str">
        <f aca="false">Feuil1!K295</f>
        <v>158 cm</v>
      </c>
      <c r="L295" s="3" t="n">
        <f aca="false">Feuil1!L295</f>
        <v>125</v>
      </c>
      <c r="M295" s="1" t="s">
        <v>17</v>
      </c>
      <c r="N295" s="1" t="s">
        <v>18</v>
      </c>
      <c r="O295" s="1" t="s">
        <v>19</v>
      </c>
      <c r="P295" s="4" t="n">
        <v>45973.466099537</v>
      </c>
      <c r="Q295" s="4" t="n">
        <v>45973.466099537</v>
      </c>
    </row>
    <row r="296" customFormat="false" ht="15" hidden="false" customHeight="false" outlineLevel="0" collapsed="false">
      <c r="A296" s="1" t="str">
        <f aca="false">Feuil1!H296</f>
        <v>54041</v>
      </c>
      <c r="B296" s="1" t="s">
        <v>17</v>
      </c>
      <c r="C296" s="1" t="s">
        <v>17</v>
      </c>
      <c r="D296" s="1" t="s">
        <v>17</v>
      </c>
      <c r="E296" s="1" t="s">
        <v>17</v>
      </c>
      <c r="F296" s="1" t="s">
        <v>17</v>
      </c>
      <c r="G296" s="1" t="s">
        <v>17</v>
      </c>
      <c r="H296" s="1" t="s">
        <v>17</v>
      </c>
      <c r="I296" s="3" t="str">
        <f aca="false">Feuil1!I296</f>
        <v>Skis Alpin </v>
      </c>
      <c r="J296" s="3" t="str">
        <f aca="false">Feuil1!J296</f>
        <v>kastle proto</v>
      </c>
      <c r="K296" s="3" t="str">
        <f aca="false">Feuil1!K296</f>
        <v>165 cm</v>
      </c>
      <c r="L296" s="3" t="n">
        <f aca="false">Feuil1!L296</f>
        <v>245</v>
      </c>
      <c r="M296" s="1" t="s">
        <v>17</v>
      </c>
      <c r="N296" s="1" t="s">
        <v>18</v>
      </c>
      <c r="O296" s="1" t="s">
        <v>19</v>
      </c>
      <c r="P296" s="4" t="n">
        <v>45973.466099537</v>
      </c>
      <c r="Q296" s="4" t="n">
        <v>45973.466099537</v>
      </c>
    </row>
    <row r="297" customFormat="false" ht="15" hidden="false" customHeight="false" outlineLevel="0" collapsed="false">
      <c r="A297" s="1" t="str">
        <f aca="false">Feuil1!H297</f>
        <v>54042</v>
      </c>
      <c r="B297" s="1" t="s">
        <v>17</v>
      </c>
      <c r="C297" s="1" t="s">
        <v>17</v>
      </c>
      <c r="D297" s="1" t="s">
        <v>17</v>
      </c>
      <c r="E297" s="1" t="s">
        <v>17</v>
      </c>
      <c r="F297" s="1" t="s">
        <v>17</v>
      </c>
      <c r="G297" s="1" t="s">
        <v>17</v>
      </c>
      <c r="H297" s="1" t="s">
        <v>17</v>
      </c>
      <c r="I297" s="3" t="str">
        <f aca="false">Feuil1!I297</f>
        <v>Skis Alpin </v>
      </c>
      <c r="J297" s="3" t="str">
        <f aca="false">Feuil1!J297</f>
        <v>kastle proto</v>
      </c>
      <c r="K297" s="3" t="str">
        <f aca="false">Feuil1!K297</f>
        <v>175 cm</v>
      </c>
      <c r="L297" s="3" t="n">
        <f aca="false">Feuil1!L297</f>
        <v>245</v>
      </c>
      <c r="M297" s="1" t="s">
        <v>17</v>
      </c>
      <c r="N297" s="1" t="s">
        <v>18</v>
      </c>
      <c r="O297" s="1" t="s">
        <v>19</v>
      </c>
      <c r="P297" s="4" t="n">
        <v>45973.466099537</v>
      </c>
      <c r="Q297" s="4" t="n">
        <v>45973.466099537</v>
      </c>
    </row>
    <row r="298" customFormat="false" ht="15" hidden="false" customHeight="false" outlineLevel="0" collapsed="false">
      <c r="A298" s="1" t="str">
        <f aca="false">Feuil1!H298</f>
        <v>54043</v>
      </c>
      <c r="B298" s="1" t="s">
        <v>17</v>
      </c>
      <c r="C298" s="1" t="s">
        <v>17</v>
      </c>
      <c r="D298" s="1" t="s">
        <v>17</v>
      </c>
      <c r="E298" s="1" t="s">
        <v>17</v>
      </c>
      <c r="F298" s="1" t="s">
        <v>17</v>
      </c>
      <c r="G298" s="1" t="s">
        <v>17</v>
      </c>
      <c r="H298" s="1" t="s">
        <v>17</v>
      </c>
      <c r="I298" s="3" t="str">
        <f aca="false">Feuil1!I298</f>
        <v>Skis Alpin </v>
      </c>
      <c r="J298" s="3" t="str">
        <f aca="false">Feuil1!J298</f>
        <v>kastle proto</v>
      </c>
      <c r="K298" s="3" t="str">
        <f aca="false">Feuil1!K298</f>
        <v>181 cm</v>
      </c>
      <c r="L298" s="3" t="n">
        <f aca="false">Feuil1!L298</f>
        <v>245</v>
      </c>
      <c r="M298" s="1" t="s">
        <v>17</v>
      </c>
      <c r="N298" s="1" t="s">
        <v>18</v>
      </c>
      <c r="O298" s="1" t="s">
        <v>19</v>
      </c>
      <c r="P298" s="4" t="n">
        <v>45973.466099537</v>
      </c>
      <c r="Q298" s="4" t="n">
        <v>45973.466099537</v>
      </c>
    </row>
    <row r="299" customFormat="false" ht="15" hidden="false" customHeight="false" outlineLevel="0" collapsed="false">
      <c r="A299" s="1" t="str">
        <f aca="false">Feuil1!H299</f>
        <v>54044</v>
      </c>
      <c r="B299" s="1" t="s">
        <v>17</v>
      </c>
      <c r="C299" s="1" t="s">
        <v>17</v>
      </c>
      <c r="D299" s="1" t="s">
        <v>17</v>
      </c>
      <c r="E299" s="1" t="s">
        <v>17</v>
      </c>
      <c r="F299" s="1" t="s">
        <v>17</v>
      </c>
      <c r="G299" s="1" t="s">
        <v>17</v>
      </c>
      <c r="H299" s="1" t="s">
        <v>17</v>
      </c>
      <c r="I299" s="3" t="str">
        <f aca="false">Feuil1!I299</f>
        <v>Skis Alpin </v>
      </c>
      <c r="J299" s="3" t="str">
        <f aca="false">Feuil1!J299</f>
        <v>salomon stance</v>
      </c>
      <c r="K299" s="3" t="str">
        <f aca="false">Feuil1!K299</f>
        <v>177 cm</v>
      </c>
      <c r="L299" s="3" t="n">
        <f aca="false">Feuil1!L299</f>
        <v>189</v>
      </c>
      <c r="M299" s="1" t="s">
        <v>17</v>
      </c>
      <c r="N299" s="1" t="s">
        <v>18</v>
      </c>
      <c r="O299" s="1" t="s">
        <v>19</v>
      </c>
      <c r="P299" s="4" t="n">
        <v>45973.466099537</v>
      </c>
      <c r="Q299" s="4" t="n">
        <v>45973.466099537</v>
      </c>
    </row>
    <row r="300" customFormat="false" ht="15" hidden="false" customHeight="false" outlineLevel="0" collapsed="false">
      <c r="A300" s="1" t="str">
        <f aca="false">Feuil1!H300</f>
        <v>54045</v>
      </c>
      <c r="B300" s="1" t="s">
        <v>17</v>
      </c>
      <c r="C300" s="1" t="s">
        <v>17</v>
      </c>
      <c r="D300" s="1" t="s">
        <v>17</v>
      </c>
      <c r="E300" s="1" t="s">
        <v>17</v>
      </c>
      <c r="F300" s="1" t="s">
        <v>17</v>
      </c>
      <c r="G300" s="1" t="s">
        <v>17</v>
      </c>
      <c r="H300" s="1" t="s">
        <v>17</v>
      </c>
      <c r="I300" s="3" t="str">
        <f aca="false">Feuil1!I300</f>
        <v>Skis Alpin </v>
      </c>
      <c r="J300" s="3" t="str">
        <f aca="false">Feuil1!J300</f>
        <v>lacroix mach</v>
      </c>
      <c r="K300" s="3" t="str">
        <f aca="false">Feuil1!K300</f>
        <v>172 cm</v>
      </c>
      <c r="L300" s="3" t="n">
        <f aca="false">Feuil1!L300</f>
        <v>145</v>
      </c>
      <c r="M300" s="1" t="s">
        <v>17</v>
      </c>
      <c r="N300" s="1" t="s">
        <v>18</v>
      </c>
      <c r="O300" s="1" t="s">
        <v>19</v>
      </c>
      <c r="P300" s="4" t="n">
        <v>45973.466099537</v>
      </c>
      <c r="Q300" s="4" t="n">
        <v>45973.466099537</v>
      </c>
    </row>
    <row r="301" customFormat="false" ht="15" hidden="false" customHeight="false" outlineLevel="0" collapsed="false">
      <c r="A301" s="1" t="str">
        <f aca="false">Feuil1!H301</f>
        <v>54046</v>
      </c>
      <c r="B301" s="1" t="s">
        <v>17</v>
      </c>
      <c r="C301" s="1" t="s">
        <v>17</v>
      </c>
      <c r="D301" s="1" t="s">
        <v>17</v>
      </c>
      <c r="E301" s="1" t="s">
        <v>17</v>
      </c>
      <c r="F301" s="1" t="s">
        <v>17</v>
      </c>
      <c r="G301" s="1" t="s">
        <v>17</v>
      </c>
      <c r="H301" s="1" t="s">
        <v>17</v>
      </c>
      <c r="I301" s="3" t="str">
        <f aca="false">Feuil1!I301</f>
        <v>Skis Alpin </v>
      </c>
      <c r="J301" s="3" t="str">
        <f aca="false">Feuil1!J301</f>
        <v>atomic g7</v>
      </c>
      <c r="K301" s="3" t="str">
        <f aca="false">Feuil1!K301</f>
        <v>175 cm</v>
      </c>
      <c r="L301" s="3" t="n">
        <f aca="false">Feuil1!L301</f>
        <v>145</v>
      </c>
      <c r="M301" s="1" t="s">
        <v>17</v>
      </c>
      <c r="N301" s="1" t="s">
        <v>18</v>
      </c>
      <c r="O301" s="1" t="s">
        <v>19</v>
      </c>
      <c r="P301" s="4" t="n">
        <v>45973.466099537</v>
      </c>
      <c r="Q301" s="4" t="n">
        <v>45973.466099537</v>
      </c>
    </row>
    <row r="302" customFormat="false" ht="15" hidden="false" customHeight="false" outlineLevel="0" collapsed="false">
      <c r="A302" s="1" t="str">
        <f aca="false">Feuil1!H302</f>
        <v>54047</v>
      </c>
      <c r="B302" s="1" t="s">
        <v>17</v>
      </c>
      <c r="C302" s="1" t="s">
        <v>17</v>
      </c>
      <c r="D302" s="1" t="s">
        <v>17</v>
      </c>
      <c r="E302" s="1" t="s">
        <v>17</v>
      </c>
      <c r="F302" s="1" t="s">
        <v>17</v>
      </c>
      <c r="G302" s="1" t="s">
        <v>17</v>
      </c>
      <c r="H302" s="1" t="s">
        <v>17</v>
      </c>
      <c r="I302" s="3" t="str">
        <f aca="false">Feuil1!I302</f>
        <v>Skis Alpin </v>
      </c>
      <c r="J302" s="3" t="str">
        <f aca="false">Feuil1!J302</f>
        <v>volkl yumi</v>
      </c>
      <c r="K302" s="3" t="str">
        <f aca="false">Feuil1!K302</f>
        <v>147 cm</v>
      </c>
      <c r="L302" s="3" t="n">
        <f aca="false">Feuil1!L302</f>
        <v>169</v>
      </c>
      <c r="M302" s="1" t="s">
        <v>17</v>
      </c>
      <c r="N302" s="1" t="s">
        <v>18</v>
      </c>
      <c r="O302" s="1" t="s">
        <v>19</v>
      </c>
      <c r="P302" s="4" t="n">
        <v>45973.466099537</v>
      </c>
      <c r="Q302" s="4" t="n">
        <v>45973.466099537</v>
      </c>
    </row>
    <row r="303" customFormat="false" ht="15" hidden="false" customHeight="false" outlineLevel="0" collapsed="false">
      <c r="A303" s="1" t="str">
        <f aca="false">Feuil1!H303</f>
        <v>54048</v>
      </c>
      <c r="B303" s="1" t="s">
        <v>17</v>
      </c>
      <c r="C303" s="1" t="s">
        <v>17</v>
      </c>
      <c r="D303" s="1" t="s">
        <v>17</v>
      </c>
      <c r="E303" s="1" t="s">
        <v>17</v>
      </c>
      <c r="F303" s="1" t="s">
        <v>17</v>
      </c>
      <c r="G303" s="1" t="s">
        <v>17</v>
      </c>
      <c r="H303" s="1" t="s">
        <v>17</v>
      </c>
      <c r="I303" s="3" t="str">
        <f aca="false">Feuil1!I303</f>
        <v>Chaussures Alpin </v>
      </c>
      <c r="J303" s="3" t="str">
        <f aca="false">Feuil1!J303</f>
        <v>atomic hawks</v>
      </c>
      <c r="K303" s="3" t="str">
        <f aca="false">Feuil1!K303</f>
        <v>47 (EU) / 30 (MP)</v>
      </c>
      <c r="L303" s="3" t="n">
        <f aca="false">Feuil1!L303</f>
        <v>49</v>
      </c>
      <c r="M303" s="1" t="s">
        <v>17</v>
      </c>
      <c r="N303" s="1" t="s">
        <v>18</v>
      </c>
      <c r="O303" s="1" t="s">
        <v>19</v>
      </c>
      <c r="P303" s="4" t="n">
        <v>45973.466099537</v>
      </c>
      <c r="Q303" s="4" t="n">
        <v>45973.466099537</v>
      </c>
    </row>
    <row r="304" customFormat="false" ht="15" hidden="false" customHeight="false" outlineLevel="0" collapsed="false">
      <c r="A304" s="1" t="str">
        <f aca="false">Feuil1!H304</f>
        <v>54049</v>
      </c>
      <c r="B304" s="1" t="s">
        <v>17</v>
      </c>
      <c r="C304" s="1" t="s">
        <v>17</v>
      </c>
      <c r="D304" s="1" t="s">
        <v>17</v>
      </c>
      <c r="E304" s="1" t="s">
        <v>17</v>
      </c>
      <c r="F304" s="1" t="s">
        <v>17</v>
      </c>
      <c r="G304" s="1" t="s">
        <v>17</v>
      </c>
      <c r="H304" s="1" t="s">
        <v>17</v>
      </c>
      <c r="I304" s="3" t="str">
        <f aca="false">Feuil1!I304</f>
        <v>Chaussures Alpin </v>
      </c>
      <c r="J304" s="3" t="str">
        <f aca="false">Feuil1!J304</f>
        <v>atomic hawks</v>
      </c>
      <c r="K304" s="3" t="str">
        <f aca="false">Feuil1!K304</f>
        <v>45 (EU) / 29 (MP)</v>
      </c>
      <c r="L304" s="3" t="n">
        <f aca="false">Feuil1!L304</f>
        <v>49</v>
      </c>
      <c r="M304" s="1" t="s">
        <v>17</v>
      </c>
      <c r="N304" s="1" t="s">
        <v>18</v>
      </c>
      <c r="O304" s="1" t="s">
        <v>19</v>
      </c>
      <c r="P304" s="4" t="n">
        <v>45973.466099537</v>
      </c>
      <c r="Q304" s="4" t="n">
        <v>45973.466099537</v>
      </c>
    </row>
    <row r="305" customFormat="false" ht="15" hidden="false" customHeight="false" outlineLevel="0" collapsed="false">
      <c r="A305" s="1" t="str">
        <f aca="false">Feuil1!H305</f>
        <v>54050</v>
      </c>
      <c r="B305" s="1" t="s">
        <v>17</v>
      </c>
      <c r="C305" s="1" t="s">
        <v>17</v>
      </c>
      <c r="D305" s="1" t="s">
        <v>17</v>
      </c>
      <c r="E305" s="1" t="s">
        <v>17</v>
      </c>
      <c r="F305" s="1" t="s">
        <v>17</v>
      </c>
      <c r="G305" s="1" t="s">
        <v>17</v>
      </c>
      <c r="H305" s="1" t="s">
        <v>17</v>
      </c>
      <c r="I305" s="3" t="str">
        <f aca="false">Feuil1!I305</f>
        <v>Chaussures Alpin </v>
      </c>
      <c r="J305" s="3" t="str">
        <f aca="false">Feuil1!J305</f>
        <v>lange sx</v>
      </c>
      <c r="K305" s="3" t="str">
        <f aca="false">Feuil1!K305</f>
        <v>46 (EU) / 29 (MP)</v>
      </c>
      <c r="L305" s="3" t="n">
        <f aca="false">Feuil1!L305</f>
        <v>49</v>
      </c>
      <c r="M305" s="1" t="s">
        <v>17</v>
      </c>
      <c r="N305" s="1" t="s">
        <v>18</v>
      </c>
      <c r="O305" s="1" t="s">
        <v>19</v>
      </c>
      <c r="P305" s="4" t="n">
        <v>45973.466099537</v>
      </c>
      <c r="Q305" s="4" t="n">
        <v>45973.466099537</v>
      </c>
    </row>
    <row r="306" customFormat="false" ht="15" hidden="false" customHeight="false" outlineLevel="0" collapsed="false">
      <c r="A306" s="1" t="str">
        <f aca="false">Feuil1!H306</f>
        <v>54051</v>
      </c>
      <c r="B306" s="1" t="s">
        <v>17</v>
      </c>
      <c r="C306" s="1" t="s">
        <v>17</v>
      </c>
      <c r="D306" s="1" t="s">
        <v>17</v>
      </c>
      <c r="E306" s="1" t="s">
        <v>17</v>
      </c>
      <c r="F306" s="1" t="s">
        <v>17</v>
      </c>
      <c r="G306" s="1" t="s">
        <v>17</v>
      </c>
      <c r="H306" s="1" t="s">
        <v>17</v>
      </c>
      <c r="I306" s="3" t="str">
        <f aca="false">Feuil1!I306</f>
        <v>Chaussures Alpin </v>
      </c>
      <c r="J306" s="3" t="str">
        <f aca="false">Feuil1!J306</f>
        <v>lange sx</v>
      </c>
      <c r="K306" s="3" t="str">
        <f aca="false">Feuil1!K306</f>
        <v>45 (EU) / 29 (MP)</v>
      </c>
      <c r="L306" s="3" t="n">
        <f aca="false">Feuil1!L306</f>
        <v>49</v>
      </c>
      <c r="M306" s="1" t="s">
        <v>17</v>
      </c>
      <c r="N306" s="1" t="s">
        <v>18</v>
      </c>
      <c r="O306" s="1" t="s">
        <v>19</v>
      </c>
      <c r="P306" s="4" t="n">
        <v>45973.466099537</v>
      </c>
      <c r="Q306" s="4" t="n">
        <v>45973.466099537</v>
      </c>
    </row>
    <row r="307" customFormat="false" ht="15" hidden="false" customHeight="false" outlineLevel="0" collapsed="false">
      <c r="A307" s="1" t="str">
        <f aca="false">Feuil1!H307</f>
        <v>54052</v>
      </c>
      <c r="B307" s="1" t="s">
        <v>17</v>
      </c>
      <c r="C307" s="1" t="s">
        <v>17</v>
      </c>
      <c r="D307" s="1" t="s">
        <v>17</v>
      </c>
      <c r="E307" s="1" t="s">
        <v>17</v>
      </c>
      <c r="F307" s="1" t="s">
        <v>17</v>
      </c>
      <c r="G307" s="1" t="s">
        <v>17</v>
      </c>
      <c r="H307" s="1" t="s">
        <v>17</v>
      </c>
      <c r="I307" s="3" t="str">
        <f aca="false">Feuil1!I307</f>
        <v>Chaussures Alpin </v>
      </c>
      <c r="J307" s="3" t="str">
        <f aca="false">Feuil1!J307</f>
        <v>nordica sport</v>
      </c>
      <c r="K307" s="3" t="str">
        <f aca="false">Feuil1!K307</f>
        <v>46 (EU) / 29 (MP)</v>
      </c>
      <c r="L307" s="3" t="n">
        <f aca="false">Feuil1!L307</f>
        <v>55</v>
      </c>
      <c r="M307" s="1" t="s">
        <v>17</v>
      </c>
      <c r="N307" s="1" t="s">
        <v>18</v>
      </c>
      <c r="O307" s="1" t="s">
        <v>19</v>
      </c>
      <c r="P307" s="4" t="n">
        <v>45973.466099537</v>
      </c>
      <c r="Q307" s="4" t="n">
        <v>45973.466099537</v>
      </c>
    </row>
    <row r="308" customFormat="false" ht="15" hidden="false" customHeight="false" outlineLevel="0" collapsed="false">
      <c r="A308" s="1" t="str">
        <f aca="false">Feuil1!H308</f>
        <v>54053</v>
      </c>
      <c r="B308" s="1" t="s">
        <v>17</v>
      </c>
      <c r="C308" s="1" t="s">
        <v>17</v>
      </c>
      <c r="D308" s="1" t="s">
        <v>17</v>
      </c>
      <c r="E308" s="1" t="s">
        <v>17</v>
      </c>
      <c r="F308" s="1" t="s">
        <v>17</v>
      </c>
      <c r="G308" s="1" t="s">
        <v>17</v>
      </c>
      <c r="H308" s="1" t="s">
        <v>17</v>
      </c>
      <c r="I308" s="3" t="str">
        <f aca="false">Feuil1!I308</f>
        <v>Chaussures Alpin </v>
      </c>
      <c r="J308" s="3" t="str">
        <f aca="false">Feuil1!J308</f>
        <v>atomic hawks</v>
      </c>
      <c r="K308" s="3" t="str">
        <f aca="false">Feuil1!K308</f>
        <v>46 (EU) / 29 (MP)</v>
      </c>
      <c r="L308" s="3" t="n">
        <f aca="false">Feuil1!L308</f>
        <v>49</v>
      </c>
      <c r="M308" s="1" t="s">
        <v>17</v>
      </c>
      <c r="N308" s="1" t="s">
        <v>18</v>
      </c>
      <c r="O308" s="1" t="s">
        <v>19</v>
      </c>
      <c r="P308" s="4" t="n">
        <v>45973.466099537</v>
      </c>
      <c r="Q308" s="4" t="n">
        <v>45973.466099537</v>
      </c>
    </row>
    <row r="309" customFormat="false" ht="15" hidden="false" customHeight="false" outlineLevel="0" collapsed="false">
      <c r="A309" s="1" t="str">
        <f aca="false">Feuil1!H309</f>
        <v>54054</v>
      </c>
      <c r="B309" s="1" t="s">
        <v>17</v>
      </c>
      <c r="C309" s="1" t="s">
        <v>17</v>
      </c>
      <c r="D309" s="1" t="s">
        <v>17</v>
      </c>
      <c r="E309" s="1" t="s">
        <v>17</v>
      </c>
      <c r="F309" s="1" t="s">
        <v>17</v>
      </c>
      <c r="G309" s="1" t="s">
        <v>17</v>
      </c>
      <c r="H309" s="1" t="s">
        <v>17</v>
      </c>
      <c r="I309" s="3" t="str">
        <f aca="false">Feuil1!I309</f>
        <v>Chaussures Alpin </v>
      </c>
      <c r="J309" s="3" t="str">
        <f aca="false">Feuil1!J309</f>
        <v>dalbello sport</v>
      </c>
      <c r="K309" s="3" t="str">
        <f aca="false">Feuil1!K309</f>
        <v>45 (EU) / 29 (MP)</v>
      </c>
      <c r="L309" s="3" t="n">
        <f aca="false">Feuil1!L309</f>
        <v>55</v>
      </c>
      <c r="M309" s="1" t="s">
        <v>17</v>
      </c>
      <c r="N309" s="1" t="s">
        <v>18</v>
      </c>
      <c r="O309" s="1" t="s">
        <v>19</v>
      </c>
      <c r="P309" s="4" t="n">
        <v>45973.466099537</v>
      </c>
      <c r="Q309" s="4" t="n">
        <v>45973.466099537</v>
      </c>
    </row>
    <row r="310" customFormat="false" ht="15" hidden="false" customHeight="false" outlineLevel="0" collapsed="false">
      <c r="A310" s="1" t="str">
        <f aca="false">Feuil1!H310</f>
        <v>54055</v>
      </c>
      <c r="B310" s="1" t="s">
        <v>17</v>
      </c>
      <c r="C310" s="1" t="s">
        <v>17</v>
      </c>
      <c r="D310" s="1" t="s">
        <v>17</v>
      </c>
      <c r="E310" s="1" t="s">
        <v>17</v>
      </c>
      <c r="F310" s="1" t="s">
        <v>17</v>
      </c>
      <c r="G310" s="1" t="s">
        <v>17</v>
      </c>
      <c r="H310" s="1" t="s">
        <v>17</v>
      </c>
      <c r="I310" s="3" t="str">
        <f aca="false">Feuil1!I310</f>
        <v>Chaussures Alpin </v>
      </c>
      <c r="J310" s="3" t="str">
        <f aca="false">Feuil1!J310</f>
        <v>head lyt</v>
      </c>
      <c r="K310" s="3" t="str">
        <f aca="false">Feuil1!K310</f>
        <v>44 (EU) / 28 (MP)</v>
      </c>
      <c r="L310" s="3" t="n">
        <f aca="false">Feuil1!L310</f>
        <v>55</v>
      </c>
      <c r="M310" s="1" t="s">
        <v>17</v>
      </c>
      <c r="N310" s="1" t="s">
        <v>18</v>
      </c>
      <c r="O310" s="1" t="s">
        <v>19</v>
      </c>
      <c r="P310" s="4" t="n">
        <v>45973.466099537</v>
      </c>
      <c r="Q310" s="4" t="n">
        <v>45973.466099537</v>
      </c>
    </row>
    <row r="311" customFormat="false" ht="15" hidden="false" customHeight="false" outlineLevel="0" collapsed="false">
      <c r="A311" s="1" t="str">
        <f aca="false">Feuil1!H311</f>
        <v>54056</v>
      </c>
      <c r="B311" s="1" t="s">
        <v>17</v>
      </c>
      <c r="C311" s="1" t="s">
        <v>17</v>
      </c>
      <c r="D311" s="1" t="s">
        <v>17</v>
      </c>
      <c r="E311" s="1" t="s">
        <v>17</v>
      </c>
      <c r="F311" s="1" t="s">
        <v>17</v>
      </c>
      <c r="G311" s="1" t="s">
        <v>17</v>
      </c>
      <c r="H311" s="1" t="s">
        <v>17</v>
      </c>
      <c r="I311" s="3" t="str">
        <f aca="false">Feuil1!I311</f>
        <v>Chaussures Alpin </v>
      </c>
      <c r="J311" s="3" t="str">
        <f aca="false">Feuil1!J311</f>
        <v>lange lx</v>
      </c>
      <c r="K311" s="3" t="str">
        <f aca="false">Feuil1!K311</f>
        <v>44 (EU) / 28 (MP)</v>
      </c>
      <c r="L311" s="3" t="n">
        <f aca="false">Feuil1!L311</f>
        <v>49</v>
      </c>
      <c r="M311" s="1" t="s">
        <v>17</v>
      </c>
      <c r="N311" s="1" t="s">
        <v>18</v>
      </c>
      <c r="O311" s="1" t="s">
        <v>19</v>
      </c>
      <c r="P311" s="4" t="n">
        <v>45973.466099537</v>
      </c>
      <c r="Q311" s="4" t="n">
        <v>45973.466099537</v>
      </c>
    </row>
    <row r="312" customFormat="false" ht="15" hidden="false" customHeight="false" outlineLevel="0" collapsed="false">
      <c r="A312" s="1" t="str">
        <f aca="false">Feuil1!H312</f>
        <v>54057</v>
      </c>
      <c r="B312" s="1" t="s">
        <v>17</v>
      </c>
      <c r="C312" s="1" t="s">
        <v>17</v>
      </c>
      <c r="D312" s="1" t="s">
        <v>17</v>
      </c>
      <c r="E312" s="1" t="s">
        <v>17</v>
      </c>
      <c r="F312" s="1" t="s">
        <v>17</v>
      </c>
      <c r="G312" s="1" t="s">
        <v>17</v>
      </c>
      <c r="H312" s="1" t="s">
        <v>17</v>
      </c>
      <c r="I312" s="3" t="str">
        <f aca="false">Feuil1!I312</f>
        <v>Chaussures Alpin </v>
      </c>
      <c r="J312" s="3" t="str">
        <f aca="false">Feuil1!J312</f>
        <v>tecnica mach</v>
      </c>
      <c r="K312" s="3" t="str">
        <f aca="false">Feuil1!K312</f>
        <v>44 (EU) / 28 (MP)</v>
      </c>
      <c r="L312" s="3" t="n">
        <f aca="false">Feuil1!L312</f>
        <v>59</v>
      </c>
      <c r="M312" s="1" t="s">
        <v>17</v>
      </c>
      <c r="N312" s="1" t="s">
        <v>18</v>
      </c>
      <c r="O312" s="1" t="s">
        <v>19</v>
      </c>
      <c r="P312" s="4" t="n">
        <v>45973.466099537</v>
      </c>
      <c r="Q312" s="4" t="n">
        <v>45973.466099537</v>
      </c>
    </row>
    <row r="313" customFormat="false" ht="15" hidden="false" customHeight="false" outlineLevel="0" collapsed="false">
      <c r="A313" s="1" t="str">
        <f aca="false">Feuil1!H313</f>
        <v>54058</v>
      </c>
      <c r="B313" s="1" t="s">
        <v>17</v>
      </c>
      <c r="C313" s="1" t="s">
        <v>17</v>
      </c>
      <c r="D313" s="1" t="s">
        <v>17</v>
      </c>
      <c r="E313" s="1" t="s">
        <v>17</v>
      </c>
      <c r="F313" s="1" t="s">
        <v>17</v>
      </c>
      <c r="G313" s="1" t="s">
        <v>17</v>
      </c>
      <c r="H313" s="1" t="s">
        <v>17</v>
      </c>
      <c r="I313" s="3" t="str">
        <f aca="false">Feuil1!I313</f>
        <v>Chaussures Alpin </v>
      </c>
      <c r="J313" s="3" t="str">
        <f aca="false">Feuil1!J313</f>
        <v>nordica speed</v>
      </c>
      <c r="K313" s="3" t="str">
        <f aca="false">Feuil1!K313</f>
        <v>44 (EU) / 28 (MP)</v>
      </c>
      <c r="L313" s="3" t="n">
        <f aca="false">Feuil1!L313</f>
        <v>59</v>
      </c>
      <c r="M313" s="1" t="s">
        <v>17</v>
      </c>
      <c r="N313" s="1" t="s">
        <v>18</v>
      </c>
      <c r="O313" s="1" t="s">
        <v>19</v>
      </c>
      <c r="P313" s="4" t="n">
        <v>45973.466099537</v>
      </c>
      <c r="Q313" s="4" t="n">
        <v>45973.466099537</v>
      </c>
    </row>
    <row r="314" customFormat="false" ht="15" hidden="false" customHeight="false" outlineLevel="0" collapsed="false">
      <c r="A314" s="1" t="str">
        <f aca="false">Feuil1!H314</f>
        <v>54059</v>
      </c>
      <c r="B314" s="1" t="s">
        <v>17</v>
      </c>
      <c r="C314" s="1" t="s">
        <v>17</v>
      </c>
      <c r="D314" s="1" t="s">
        <v>17</v>
      </c>
      <c r="E314" s="1" t="s">
        <v>17</v>
      </c>
      <c r="F314" s="1" t="s">
        <v>17</v>
      </c>
      <c r="G314" s="1" t="s">
        <v>17</v>
      </c>
      <c r="H314" s="1" t="s">
        <v>17</v>
      </c>
      <c r="I314" s="3" t="str">
        <f aca="false">Feuil1!I314</f>
        <v>Chaussures Alpin </v>
      </c>
      <c r="J314" s="3" t="str">
        <f aca="false">Feuil1!J314</f>
        <v>lange rx</v>
      </c>
      <c r="K314" s="3" t="str">
        <f aca="false">Feuil1!K314</f>
        <v>44 (EU) / 28 (MP)</v>
      </c>
      <c r="L314" s="3" t="n">
        <f aca="false">Feuil1!L314</f>
        <v>59</v>
      </c>
      <c r="M314" s="1" t="s">
        <v>17</v>
      </c>
      <c r="N314" s="1" t="s">
        <v>18</v>
      </c>
      <c r="O314" s="1" t="s">
        <v>19</v>
      </c>
      <c r="P314" s="4" t="n">
        <v>45973.466099537</v>
      </c>
      <c r="Q314" s="4" t="n">
        <v>45973.466099537</v>
      </c>
    </row>
    <row r="315" customFormat="false" ht="15" hidden="false" customHeight="false" outlineLevel="0" collapsed="false">
      <c r="A315" s="1" t="str">
        <f aca="false">Feuil1!H315</f>
        <v>54060</v>
      </c>
      <c r="B315" s="1" t="s">
        <v>17</v>
      </c>
      <c r="C315" s="1" t="s">
        <v>17</v>
      </c>
      <c r="D315" s="1" t="s">
        <v>17</v>
      </c>
      <c r="E315" s="1" t="s">
        <v>17</v>
      </c>
      <c r="F315" s="1" t="s">
        <v>17</v>
      </c>
      <c r="G315" s="1" t="s">
        <v>17</v>
      </c>
      <c r="H315" s="1" t="s">
        <v>17</v>
      </c>
      <c r="I315" s="3" t="str">
        <f aca="false">Feuil1!I315</f>
        <v>Chaussures Alpin </v>
      </c>
      <c r="J315" s="3" t="str">
        <f aca="false">Feuil1!J315</f>
        <v>salomon xpro</v>
      </c>
      <c r="K315" s="3" t="str">
        <f aca="false">Feuil1!K315</f>
        <v>45 (EU) / 29 (MP)</v>
      </c>
      <c r="L315" s="3" t="n">
        <f aca="false">Feuil1!L315</f>
        <v>59</v>
      </c>
      <c r="M315" s="1" t="s">
        <v>17</v>
      </c>
      <c r="N315" s="1" t="s">
        <v>18</v>
      </c>
      <c r="O315" s="1" t="s">
        <v>19</v>
      </c>
      <c r="P315" s="4" t="n">
        <v>45973.466099537</v>
      </c>
      <c r="Q315" s="4" t="n">
        <v>45973.466099537</v>
      </c>
    </row>
    <row r="316" customFormat="false" ht="15" hidden="false" customHeight="false" outlineLevel="0" collapsed="false">
      <c r="A316" s="1" t="str">
        <f aca="false">Feuil1!H316</f>
        <v>54061</v>
      </c>
      <c r="B316" s="1" t="s">
        <v>17</v>
      </c>
      <c r="C316" s="1" t="s">
        <v>17</v>
      </c>
      <c r="D316" s="1" t="s">
        <v>17</v>
      </c>
      <c r="E316" s="1" t="s">
        <v>17</v>
      </c>
      <c r="F316" s="1" t="s">
        <v>17</v>
      </c>
      <c r="G316" s="1" t="s">
        <v>17</v>
      </c>
      <c r="H316" s="1" t="s">
        <v>17</v>
      </c>
      <c r="I316" s="3" t="str">
        <f aca="false">Feuil1!I316</f>
        <v>Chaussures Alpin </v>
      </c>
      <c r="J316" s="3" t="str">
        <f aca="false">Feuil1!J316</f>
        <v>rossignol alltrack</v>
      </c>
      <c r="K316" s="3" t="str">
        <f aca="false">Feuil1!K316</f>
        <v>45 (EU) / 29 (MP)</v>
      </c>
      <c r="L316" s="3" t="n">
        <f aca="false">Feuil1!L316</f>
        <v>49</v>
      </c>
      <c r="M316" s="1" t="s">
        <v>17</v>
      </c>
      <c r="N316" s="1" t="s">
        <v>18</v>
      </c>
      <c r="O316" s="1" t="s">
        <v>19</v>
      </c>
      <c r="P316" s="4" t="n">
        <v>45973.466099537</v>
      </c>
      <c r="Q316" s="4" t="n">
        <v>45973.466099537</v>
      </c>
    </row>
    <row r="317" customFormat="false" ht="15" hidden="false" customHeight="false" outlineLevel="0" collapsed="false">
      <c r="A317" s="1" t="str">
        <f aca="false">Feuil1!H317</f>
        <v>54062</v>
      </c>
      <c r="B317" s="1" t="s">
        <v>17</v>
      </c>
      <c r="C317" s="1" t="s">
        <v>17</v>
      </c>
      <c r="D317" s="1" t="s">
        <v>17</v>
      </c>
      <c r="E317" s="1" t="s">
        <v>17</v>
      </c>
      <c r="F317" s="1" t="s">
        <v>17</v>
      </c>
      <c r="G317" s="1" t="s">
        <v>17</v>
      </c>
      <c r="H317" s="1" t="s">
        <v>17</v>
      </c>
      <c r="I317" s="3" t="str">
        <f aca="false">Feuil1!I317</f>
        <v>Chaussures Alpin </v>
      </c>
      <c r="J317" s="3" t="str">
        <f aca="false">Feuil1!J317</f>
        <v>salomon xpro</v>
      </c>
      <c r="K317" s="3" t="str">
        <f aca="false">Feuil1!K317</f>
        <v>44 (EU) / 28 (MP)</v>
      </c>
      <c r="L317" s="3" t="n">
        <f aca="false">Feuil1!L317</f>
        <v>59</v>
      </c>
      <c r="M317" s="1" t="s">
        <v>17</v>
      </c>
      <c r="N317" s="1" t="s">
        <v>18</v>
      </c>
      <c r="O317" s="1" t="s">
        <v>19</v>
      </c>
      <c r="P317" s="4" t="n">
        <v>45973.466099537</v>
      </c>
      <c r="Q317" s="4" t="n">
        <v>45973.466099537</v>
      </c>
    </row>
    <row r="318" customFormat="false" ht="15" hidden="false" customHeight="false" outlineLevel="0" collapsed="false">
      <c r="A318" s="1" t="str">
        <f aca="false">Feuil1!H318</f>
        <v>54063</v>
      </c>
      <c r="B318" s="1" t="s">
        <v>17</v>
      </c>
      <c r="C318" s="1" t="s">
        <v>17</v>
      </c>
      <c r="D318" s="1" t="s">
        <v>17</v>
      </c>
      <c r="E318" s="1" t="s">
        <v>17</v>
      </c>
      <c r="F318" s="1" t="s">
        <v>17</v>
      </c>
      <c r="G318" s="1" t="s">
        <v>17</v>
      </c>
      <c r="H318" s="1" t="s">
        <v>17</v>
      </c>
      <c r="I318" s="3" t="str">
        <f aca="false">Feuil1!I318</f>
        <v>Chaussures Alpin </v>
      </c>
      <c r="J318" s="3" t="str">
        <f aca="false">Feuil1!J318</f>
        <v>roxa pro fit</v>
      </c>
      <c r="K318" s="3" t="str">
        <f aca="false">Feuil1!K318</f>
        <v>44 (EU) / 28 (MP)</v>
      </c>
      <c r="L318" s="3" t="n">
        <f aca="false">Feuil1!L318</f>
        <v>59</v>
      </c>
      <c r="M318" s="1" t="s">
        <v>17</v>
      </c>
      <c r="N318" s="1" t="s">
        <v>18</v>
      </c>
      <c r="O318" s="1" t="s">
        <v>19</v>
      </c>
      <c r="P318" s="4" t="n">
        <v>45973.466099537</v>
      </c>
      <c r="Q318" s="4" t="n">
        <v>45973.466099537</v>
      </c>
    </row>
    <row r="319" customFormat="false" ht="15" hidden="false" customHeight="false" outlineLevel="0" collapsed="false">
      <c r="A319" s="1" t="str">
        <f aca="false">Feuil1!H319</f>
        <v>54064</v>
      </c>
      <c r="B319" s="1" t="s">
        <v>17</v>
      </c>
      <c r="C319" s="1" t="s">
        <v>17</v>
      </c>
      <c r="D319" s="1" t="s">
        <v>17</v>
      </c>
      <c r="E319" s="1" t="s">
        <v>17</v>
      </c>
      <c r="F319" s="1" t="s">
        <v>17</v>
      </c>
      <c r="G319" s="1" t="s">
        <v>17</v>
      </c>
      <c r="H319" s="1" t="s">
        <v>17</v>
      </c>
      <c r="I319" s="3" t="str">
        <f aca="false">Feuil1!I319</f>
        <v>Chaussures Alpin </v>
      </c>
      <c r="J319" s="3" t="str">
        <f aca="false">Feuil1!J319</f>
        <v>roxa pro fit</v>
      </c>
      <c r="K319" s="3" t="str">
        <f aca="false">Feuil1!K319</f>
        <v>43 (EU) / 27 (MP)</v>
      </c>
      <c r="L319" s="3" t="n">
        <f aca="false">Feuil1!L319</f>
        <v>59</v>
      </c>
      <c r="M319" s="1" t="s">
        <v>17</v>
      </c>
      <c r="N319" s="1" t="s">
        <v>18</v>
      </c>
      <c r="O319" s="1" t="s">
        <v>19</v>
      </c>
      <c r="P319" s="4" t="n">
        <v>45973.466099537</v>
      </c>
      <c r="Q319" s="4" t="n">
        <v>45973.466099537</v>
      </c>
    </row>
    <row r="320" customFormat="false" ht="15" hidden="false" customHeight="false" outlineLevel="0" collapsed="false">
      <c r="A320" s="1" t="str">
        <f aca="false">Feuil1!H320</f>
        <v>54065</v>
      </c>
      <c r="B320" s="1" t="s">
        <v>17</v>
      </c>
      <c r="C320" s="1" t="s">
        <v>17</v>
      </c>
      <c r="D320" s="1" t="s">
        <v>17</v>
      </c>
      <c r="E320" s="1" t="s">
        <v>17</v>
      </c>
      <c r="F320" s="1" t="s">
        <v>17</v>
      </c>
      <c r="G320" s="1" t="s">
        <v>17</v>
      </c>
      <c r="H320" s="1" t="s">
        <v>17</v>
      </c>
      <c r="I320" s="3" t="str">
        <f aca="false">Feuil1!I320</f>
        <v>Chaussures Alpin </v>
      </c>
      <c r="J320" s="3" t="str">
        <f aca="false">Feuil1!J320</f>
        <v>tecnica mach</v>
      </c>
      <c r="K320" s="3" t="str">
        <f aca="false">Feuil1!K320</f>
        <v>43 (EU) / 27 (MP)</v>
      </c>
      <c r="L320" s="3" t="n">
        <f aca="false">Feuil1!L320</f>
        <v>59</v>
      </c>
      <c r="M320" s="1" t="s">
        <v>17</v>
      </c>
      <c r="N320" s="1" t="s">
        <v>18</v>
      </c>
      <c r="O320" s="1" t="s">
        <v>19</v>
      </c>
      <c r="P320" s="4" t="n">
        <v>45973.466099537</v>
      </c>
      <c r="Q320" s="4" t="n">
        <v>45973.466099537</v>
      </c>
    </row>
    <row r="321" customFormat="false" ht="15" hidden="false" customHeight="false" outlineLevel="0" collapsed="false">
      <c r="A321" s="1" t="str">
        <f aca="false">Feuil1!H321</f>
        <v>54066</v>
      </c>
      <c r="B321" s="1" t="s">
        <v>17</v>
      </c>
      <c r="C321" s="1" t="s">
        <v>17</v>
      </c>
      <c r="D321" s="1" t="s">
        <v>17</v>
      </c>
      <c r="E321" s="1" t="s">
        <v>17</v>
      </c>
      <c r="F321" s="1" t="s">
        <v>17</v>
      </c>
      <c r="G321" s="1" t="s">
        <v>17</v>
      </c>
      <c r="H321" s="1" t="s">
        <v>17</v>
      </c>
      <c r="I321" s="3" t="str">
        <f aca="false">Feuil1!I321</f>
        <v>Chaussures Alpin </v>
      </c>
      <c r="J321" s="3" t="str">
        <f aca="false">Feuil1!J321</f>
        <v>tecnica mach</v>
      </c>
      <c r="K321" s="3" t="str">
        <f aca="false">Feuil1!K321</f>
        <v>44 (EU) / 28 (MP)</v>
      </c>
      <c r="L321" s="3" t="n">
        <f aca="false">Feuil1!L321</f>
        <v>59</v>
      </c>
      <c r="M321" s="1" t="s">
        <v>17</v>
      </c>
      <c r="N321" s="1" t="s">
        <v>18</v>
      </c>
      <c r="O321" s="1" t="s">
        <v>19</v>
      </c>
      <c r="P321" s="4" t="n">
        <v>45973.466099537</v>
      </c>
      <c r="Q321" s="4" t="n">
        <v>45973.466099537</v>
      </c>
    </row>
    <row r="322" customFormat="false" ht="15" hidden="false" customHeight="false" outlineLevel="0" collapsed="false">
      <c r="A322" s="1" t="str">
        <f aca="false">Feuil1!H322</f>
        <v>54067</v>
      </c>
      <c r="B322" s="1" t="s">
        <v>17</v>
      </c>
      <c r="C322" s="1" t="s">
        <v>17</v>
      </c>
      <c r="D322" s="1" t="s">
        <v>17</v>
      </c>
      <c r="E322" s="1" t="s">
        <v>17</v>
      </c>
      <c r="F322" s="1" t="s">
        <v>17</v>
      </c>
      <c r="G322" s="1" t="s">
        <v>17</v>
      </c>
      <c r="H322" s="1" t="s">
        <v>17</v>
      </c>
      <c r="I322" s="3" t="str">
        <f aca="false">Feuil1!I322</f>
        <v>Chaussures Alpin </v>
      </c>
      <c r="J322" s="3" t="str">
        <f aca="false">Feuil1!J322</f>
        <v>tecnica mach</v>
      </c>
      <c r="K322" s="3" t="str">
        <f aca="false">Feuil1!K322</f>
        <v>44 (EU) / 28 (MP)</v>
      </c>
      <c r="L322" s="3" t="n">
        <f aca="false">Feuil1!L322</f>
        <v>59</v>
      </c>
      <c r="M322" s="1" t="s">
        <v>17</v>
      </c>
      <c r="N322" s="1" t="s">
        <v>18</v>
      </c>
      <c r="O322" s="1" t="s">
        <v>19</v>
      </c>
      <c r="P322" s="4" t="n">
        <v>45973.466099537</v>
      </c>
      <c r="Q322" s="4" t="n">
        <v>45973.466099537</v>
      </c>
    </row>
    <row r="323" customFormat="false" ht="15" hidden="false" customHeight="false" outlineLevel="0" collapsed="false">
      <c r="A323" s="1" t="str">
        <f aca="false">Feuil1!H323</f>
        <v>54068</v>
      </c>
      <c r="B323" s="1" t="s">
        <v>17</v>
      </c>
      <c r="C323" s="1" t="s">
        <v>17</v>
      </c>
      <c r="D323" s="1" t="s">
        <v>17</v>
      </c>
      <c r="E323" s="1" t="s">
        <v>17</v>
      </c>
      <c r="F323" s="1" t="s">
        <v>17</v>
      </c>
      <c r="G323" s="1" t="s">
        <v>17</v>
      </c>
      <c r="H323" s="1" t="s">
        <v>17</v>
      </c>
      <c r="I323" s="3" t="str">
        <f aca="false">Feuil1!I323</f>
        <v>Chaussures Alpin </v>
      </c>
      <c r="J323" s="3" t="str">
        <f aca="false">Feuil1!J323</f>
        <v>tecnica mach</v>
      </c>
      <c r="K323" s="3" t="str">
        <f aca="false">Feuil1!K323</f>
        <v>44 (EU) / 28 (MP)</v>
      </c>
      <c r="L323" s="3" t="n">
        <f aca="false">Feuil1!L323</f>
        <v>59</v>
      </c>
      <c r="M323" s="1" t="s">
        <v>17</v>
      </c>
      <c r="N323" s="1" t="s">
        <v>18</v>
      </c>
      <c r="O323" s="1" t="s">
        <v>19</v>
      </c>
      <c r="P323" s="4" t="n">
        <v>45973.466099537</v>
      </c>
      <c r="Q323" s="4" t="n">
        <v>45973.466099537</v>
      </c>
    </row>
    <row r="324" customFormat="false" ht="15" hidden="false" customHeight="false" outlineLevel="0" collapsed="false">
      <c r="A324" s="1" t="str">
        <f aca="false">Feuil1!H324</f>
        <v>54069</v>
      </c>
      <c r="B324" s="1" t="s">
        <v>17</v>
      </c>
      <c r="C324" s="1" t="s">
        <v>17</v>
      </c>
      <c r="D324" s="1" t="s">
        <v>17</v>
      </c>
      <c r="E324" s="1" t="s">
        <v>17</v>
      </c>
      <c r="F324" s="1" t="s">
        <v>17</v>
      </c>
      <c r="G324" s="1" t="s">
        <v>17</v>
      </c>
      <c r="H324" s="1" t="s">
        <v>17</v>
      </c>
      <c r="I324" s="3" t="str">
        <f aca="false">Feuil1!I324</f>
        <v>Chaussures Alpin </v>
      </c>
      <c r="J324" s="3" t="str">
        <f aca="false">Feuil1!J324</f>
        <v>rossignol alltrack</v>
      </c>
      <c r="K324" s="3" t="str">
        <f aca="false">Feuil1!K324</f>
        <v>44 (EU) / 28 (MP)</v>
      </c>
      <c r="L324" s="3" t="n">
        <f aca="false">Feuil1!L324</f>
        <v>55</v>
      </c>
      <c r="M324" s="1" t="s">
        <v>17</v>
      </c>
      <c r="N324" s="1" t="s">
        <v>18</v>
      </c>
      <c r="O324" s="1" t="s">
        <v>19</v>
      </c>
      <c r="P324" s="4" t="n">
        <v>45973.466099537</v>
      </c>
      <c r="Q324" s="4" t="n">
        <v>45973.466099537</v>
      </c>
    </row>
    <row r="325" customFormat="false" ht="15" hidden="false" customHeight="false" outlineLevel="0" collapsed="false">
      <c r="A325" s="1" t="str">
        <f aca="false">Feuil1!H325</f>
        <v>54070</v>
      </c>
      <c r="B325" s="1" t="s">
        <v>17</v>
      </c>
      <c r="C325" s="1" t="s">
        <v>17</v>
      </c>
      <c r="D325" s="1" t="s">
        <v>17</v>
      </c>
      <c r="E325" s="1" t="s">
        <v>17</v>
      </c>
      <c r="F325" s="1" t="s">
        <v>17</v>
      </c>
      <c r="G325" s="1" t="s">
        <v>17</v>
      </c>
      <c r="H325" s="1" t="s">
        <v>17</v>
      </c>
      <c r="I325" s="3" t="str">
        <f aca="false">Feuil1!I325</f>
        <v>Chaussures Alpin </v>
      </c>
      <c r="J325" s="3" t="str">
        <f aca="false">Feuil1!J325</f>
        <v>rossignol alltrack</v>
      </c>
      <c r="K325" s="3" t="str">
        <f aca="false">Feuil1!K325</f>
        <v>42 (EU) / 26 (MP)</v>
      </c>
      <c r="L325" s="3" t="n">
        <f aca="false">Feuil1!L325</f>
        <v>55</v>
      </c>
      <c r="M325" s="1" t="s">
        <v>17</v>
      </c>
      <c r="N325" s="1" t="s">
        <v>18</v>
      </c>
      <c r="O325" s="1" t="s">
        <v>19</v>
      </c>
      <c r="P325" s="4" t="n">
        <v>45973.466099537</v>
      </c>
      <c r="Q325" s="4" t="n">
        <v>45973.466099537</v>
      </c>
    </row>
    <row r="326" customFormat="false" ht="15" hidden="false" customHeight="false" outlineLevel="0" collapsed="false">
      <c r="A326" s="1" t="str">
        <f aca="false">Feuil1!H326</f>
        <v>54071</v>
      </c>
      <c r="B326" s="1" t="s">
        <v>17</v>
      </c>
      <c r="C326" s="1" t="s">
        <v>17</v>
      </c>
      <c r="D326" s="1" t="s">
        <v>17</v>
      </c>
      <c r="E326" s="1" t="s">
        <v>17</v>
      </c>
      <c r="F326" s="1" t="s">
        <v>17</v>
      </c>
      <c r="G326" s="1" t="s">
        <v>17</v>
      </c>
      <c r="H326" s="1" t="s">
        <v>17</v>
      </c>
      <c r="I326" s="3" t="str">
        <f aca="false">Feuil1!I326</f>
        <v>Chaussures Alpin </v>
      </c>
      <c r="J326" s="3" t="str">
        <f aca="false">Feuil1!J326</f>
        <v>rossignol sensor</v>
      </c>
      <c r="K326" s="3" t="str">
        <f aca="false">Feuil1!K326</f>
        <v>44 (EU) / 28 (MP)</v>
      </c>
      <c r="L326" s="3" t="n">
        <f aca="false">Feuil1!L326</f>
        <v>55</v>
      </c>
      <c r="M326" s="1" t="s">
        <v>17</v>
      </c>
      <c r="N326" s="1" t="s">
        <v>18</v>
      </c>
      <c r="O326" s="1" t="s">
        <v>19</v>
      </c>
      <c r="P326" s="4" t="n">
        <v>45973.466099537</v>
      </c>
      <c r="Q326" s="4" t="n">
        <v>45973.466099537</v>
      </c>
    </row>
    <row r="327" customFormat="false" ht="15" hidden="false" customHeight="false" outlineLevel="0" collapsed="false">
      <c r="A327" s="1" t="str">
        <f aca="false">Feuil1!H327</f>
        <v>54072</v>
      </c>
      <c r="B327" s="1" t="s">
        <v>17</v>
      </c>
      <c r="C327" s="1" t="s">
        <v>17</v>
      </c>
      <c r="D327" s="1" t="s">
        <v>17</v>
      </c>
      <c r="E327" s="1" t="s">
        <v>17</v>
      </c>
      <c r="F327" s="1" t="s">
        <v>17</v>
      </c>
      <c r="G327" s="1" t="s">
        <v>17</v>
      </c>
      <c r="H327" s="1" t="s">
        <v>17</v>
      </c>
      <c r="I327" s="3" t="str">
        <f aca="false">Feuil1!I327</f>
        <v>Chaussures Alpin </v>
      </c>
      <c r="J327" s="3" t="str">
        <f aca="false">Feuil1!J327</f>
        <v>lange lx</v>
      </c>
      <c r="K327" s="3" t="str">
        <f aca="false">Feuil1!K327</f>
        <v>42 (EU) / 26 (MP)</v>
      </c>
      <c r="L327" s="3" t="n">
        <f aca="false">Feuil1!L327</f>
        <v>49</v>
      </c>
      <c r="M327" s="1" t="s">
        <v>17</v>
      </c>
      <c r="N327" s="1" t="s">
        <v>18</v>
      </c>
      <c r="O327" s="1" t="s">
        <v>19</v>
      </c>
      <c r="P327" s="4" t="n">
        <v>45973.466099537</v>
      </c>
      <c r="Q327" s="4" t="n">
        <v>45973.466099537</v>
      </c>
    </row>
    <row r="328" customFormat="false" ht="15" hidden="false" customHeight="false" outlineLevel="0" collapsed="false">
      <c r="A328" s="1" t="str">
        <f aca="false">Feuil1!H328</f>
        <v>54073</v>
      </c>
      <c r="B328" s="1" t="s">
        <v>17</v>
      </c>
      <c r="C328" s="1" t="s">
        <v>17</v>
      </c>
      <c r="D328" s="1" t="s">
        <v>17</v>
      </c>
      <c r="E328" s="1" t="s">
        <v>17</v>
      </c>
      <c r="F328" s="1" t="s">
        <v>17</v>
      </c>
      <c r="G328" s="1" t="s">
        <v>17</v>
      </c>
      <c r="H328" s="1" t="s">
        <v>17</v>
      </c>
      <c r="I328" s="3" t="str">
        <f aca="false">Feuil1!I328</f>
        <v>Chaussures Alpin </v>
      </c>
      <c r="J328" s="3" t="str">
        <f aca="false">Feuil1!J328</f>
        <v>lange lx</v>
      </c>
      <c r="K328" s="3" t="str">
        <f aca="false">Feuil1!K328</f>
        <v>44 (EU) / 28 (MP)</v>
      </c>
      <c r="L328" s="3" t="n">
        <f aca="false">Feuil1!L328</f>
        <v>49</v>
      </c>
      <c r="M328" s="1" t="s">
        <v>17</v>
      </c>
      <c r="N328" s="1" t="s">
        <v>18</v>
      </c>
      <c r="O328" s="1" t="s">
        <v>19</v>
      </c>
      <c r="P328" s="4" t="n">
        <v>45973.466099537</v>
      </c>
      <c r="Q328" s="4" t="n">
        <v>45973.466099537</v>
      </c>
    </row>
    <row r="329" customFormat="false" ht="15" hidden="false" customHeight="false" outlineLevel="0" collapsed="false">
      <c r="A329" s="1" t="str">
        <f aca="false">Feuil1!H329</f>
        <v>54074</v>
      </c>
      <c r="B329" s="1" t="s">
        <v>17</v>
      </c>
      <c r="C329" s="1" t="s">
        <v>17</v>
      </c>
      <c r="D329" s="1" t="s">
        <v>17</v>
      </c>
      <c r="E329" s="1" t="s">
        <v>17</v>
      </c>
      <c r="F329" s="1" t="s">
        <v>17</v>
      </c>
      <c r="G329" s="1" t="s">
        <v>17</v>
      </c>
      <c r="H329" s="1" t="s">
        <v>17</v>
      </c>
      <c r="I329" s="3" t="str">
        <f aca="false">Feuil1!I329</f>
        <v>Chaussures Alpin </v>
      </c>
      <c r="J329" s="3" t="str">
        <f aca="false">Feuil1!J329</f>
        <v>salomon xpro</v>
      </c>
      <c r="K329" s="3" t="str">
        <f aca="false">Feuil1!K329</f>
        <v>44 (EU) / 28 (MP)</v>
      </c>
      <c r="L329" s="3" t="n">
        <f aca="false">Feuil1!L329</f>
        <v>59</v>
      </c>
      <c r="M329" s="1" t="s">
        <v>17</v>
      </c>
      <c r="N329" s="1" t="s">
        <v>18</v>
      </c>
      <c r="O329" s="1" t="s">
        <v>19</v>
      </c>
      <c r="P329" s="4" t="n">
        <v>45973.466099537</v>
      </c>
      <c r="Q329" s="4" t="n">
        <v>45973.466099537</v>
      </c>
    </row>
    <row r="330" customFormat="false" ht="15" hidden="false" customHeight="false" outlineLevel="0" collapsed="false">
      <c r="A330" s="1" t="str">
        <f aca="false">Feuil1!H330</f>
        <v>54075</v>
      </c>
      <c r="B330" s="1" t="s">
        <v>17</v>
      </c>
      <c r="C330" s="1" t="s">
        <v>17</v>
      </c>
      <c r="D330" s="1" t="s">
        <v>17</v>
      </c>
      <c r="E330" s="1" t="s">
        <v>17</v>
      </c>
      <c r="F330" s="1" t="s">
        <v>17</v>
      </c>
      <c r="G330" s="1" t="s">
        <v>17</v>
      </c>
      <c r="H330" s="1" t="s">
        <v>17</v>
      </c>
      <c r="I330" s="3" t="str">
        <f aca="false">Feuil1!I330</f>
        <v>Chaussures Alpin </v>
      </c>
      <c r="J330" s="3" t="str">
        <f aca="false">Feuil1!J330</f>
        <v>nordica gpx</v>
      </c>
      <c r="K330" s="3" t="str">
        <f aca="false">Feuil1!K330</f>
        <v>44 (EU) / 28 (MP)</v>
      </c>
      <c r="L330" s="3" t="n">
        <f aca="false">Feuil1!L330</f>
        <v>55</v>
      </c>
      <c r="M330" s="1" t="s">
        <v>17</v>
      </c>
      <c r="N330" s="1" t="s">
        <v>18</v>
      </c>
      <c r="O330" s="1" t="s">
        <v>19</v>
      </c>
      <c r="P330" s="4" t="n">
        <v>45973.466099537</v>
      </c>
      <c r="Q330" s="4" t="n">
        <v>45973.466099537</v>
      </c>
    </row>
    <row r="331" customFormat="false" ht="15" hidden="false" customHeight="false" outlineLevel="0" collapsed="false">
      <c r="A331" s="1" t="str">
        <f aca="false">Feuil1!H331</f>
        <v>54076</v>
      </c>
      <c r="B331" s="1" t="s">
        <v>17</v>
      </c>
      <c r="C331" s="1" t="s">
        <v>17</v>
      </c>
      <c r="D331" s="1" t="s">
        <v>17</v>
      </c>
      <c r="E331" s="1" t="s">
        <v>17</v>
      </c>
      <c r="F331" s="1" t="s">
        <v>17</v>
      </c>
      <c r="G331" s="1" t="s">
        <v>17</v>
      </c>
      <c r="H331" s="1" t="s">
        <v>17</v>
      </c>
      <c r="I331" s="3" t="str">
        <f aca="false">Feuil1!I331</f>
        <v>Chaussures Alpin </v>
      </c>
      <c r="J331" s="3" t="str">
        <f aca="false">Feuil1!J331</f>
        <v>atomic hawks</v>
      </c>
      <c r="K331" s="3" t="str">
        <f aca="false">Feuil1!K331</f>
        <v>44 (EU) / 28 (MP)</v>
      </c>
      <c r="L331" s="3" t="n">
        <f aca="false">Feuil1!L331</f>
        <v>45</v>
      </c>
      <c r="M331" s="1" t="s">
        <v>17</v>
      </c>
      <c r="N331" s="1" t="s">
        <v>18</v>
      </c>
      <c r="O331" s="1" t="s">
        <v>19</v>
      </c>
      <c r="P331" s="4" t="n">
        <v>45973.466099537</v>
      </c>
      <c r="Q331" s="4" t="n">
        <v>45973.466099537</v>
      </c>
    </row>
    <row r="332" customFormat="false" ht="15" hidden="false" customHeight="false" outlineLevel="0" collapsed="false">
      <c r="A332" s="1" t="str">
        <f aca="false">Feuil1!H332</f>
        <v>54077</v>
      </c>
      <c r="B332" s="1" t="s">
        <v>17</v>
      </c>
      <c r="C332" s="1" t="s">
        <v>17</v>
      </c>
      <c r="D332" s="1" t="s">
        <v>17</v>
      </c>
      <c r="E332" s="1" t="s">
        <v>17</v>
      </c>
      <c r="F332" s="1" t="s">
        <v>17</v>
      </c>
      <c r="G332" s="1" t="s">
        <v>17</v>
      </c>
      <c r="H332" s="1" t="s">
        <v>17</v>
      </c>
      <c r="I332" s="3" t="str">
        <f aca="false">Feuil1!I332</f>
        <v>Chaussures Alpin </v>
      </c>
      <c r="J332" s="3" t="str">
        <f aca="false">Feuil1!J332</f>
        <v>atomic hawks</v>
      </c>
      <c r="K332" s="3" t="str">
        <f aca="false">Feuil1!K332</f>
        <v>43 (EU) / 27 (MP)</v>
      </c>
      <c r="L332" s="3" t="n">
        <f aca="false">Feuil1!L332</f>
        <v>55</v>
      </c>
      <c r="M332" s="1" t="s">
        <v>17</v>
      </c>
      <c r="N332" s="1" t="s">
        <v>18</v>
      </c>
      <c r="O332" s="1" t="s">
        <v>19</v>
      </c>
      <c r="P332" s="4" t="n">
        <v>45973.466099537</v>
      </c>
      <c r="Q332" s="4" t="n">
        <v>45973.466099537</v>
      </c>
    </row>
    <row r="333" customFormat="false" ht="15" hidden="false" customHeight="false" outlineLevel="0" collapsed="false">
      <c r="A333" s="1" t="str">
        <f aca="false">Feuil1!H333</f>
        <v>54078</v>
      </c>
      <c r="B333" s="1" t="s">
        <v>17</v>
      </c>
      <c r="C333" s="1" t="s">
        <v>17</v>
      </c>
      <c r="D333" s="1" t="s">
        <v>17</v>
      </c>
      <c r="E333" s="1" t="s">
        <v>17</v>
      </c>
      <c r="F333" s="1" t="s">
        <v>17</v>
      </c>
      <c r="G333" s="1" t="s">
        <v>17</v>
      </c>
      <c r="H333" s="1" t="s">
        <v>17</v>
      </c>
      <c r="I333" s="3" t="str">
        <f aca="false">Feuil1!I333</f>
        <v>Chaussures Alpin </v>
      </c>
      <c r="J333" s="3" t="str">
        <f aca="false">Feuil1!J333</f>
        <v>atomic hawks</v>
      </c>
      <c r="K333" s="3" t="str">
        <f aca="false">Feuil1!K333</f>
        <v>43 (EU) / 27 (MP)</v>
      </c>
      <c r="L333" s="3" t="n">
        <f aca="false">Feuil1!L333</f>
        <v>49</v>
      </c>
      <c r="M333" s="1" t="s">
        <v>17</v>
      </c>
      <c r="N333" s="1" t="s">
        <v>18</v>
      </c>
      <c r="O333" s="1" t="s">
        <v>19</v>
      </c>
      <c r="P333" s="4" t="n">
        <v>45973.466099537</v>
      </c>
      <c r="Q333" s="4" t="n">
        <v>45973.466099537</v>
      </c>
    </row>
    <row r="334" customFormat="false" ht="15" hidden="false" customHeight="false" outlineLevel="0" collapsed="false">
      <c r="A334" s="1" t="str">
        <f aca="false">Feuil1!H334</f>
        <v>54079</v>
      </c>
      <c r="B334" s="1" t="s">
        <v>17</v>
      </c>
      <c r="C334" s="1" t="s">
        <v>17</v>
      </c>
      <c r="D334" s="1" t="s">
        <v>17</v>
      </c>
      <c r="E334" s="1" t="s">
        <v>17</v>
      </c>
      <c r="F334" s="1" t="s">
        <v>17</v>
      </c>
      <c r="G334" s="1" t="s">
        <v>17</v>
      </c>
      <c r="H334" s="1" t="s">
        <v>17</v>
      </c>
      <c r="I334" s="3" t="str">
        <f aca="false">Feuil1!I334</f>
        <v>Chaussures Alpin </v>
      </c>
      <c r="J334" s="3" t="str">
        <f aca="false">Feuil1!J334</f>
        <v>atomic hawks</v>
      </c>
      <c r="K334" s="3" t="str">
        <f aca="false">Feuil1!K334</f>
        <v>41 (EU) / 26 (MP)</v>
      </c>
      <c r="L334" s="3" t="n">
        <f aca="false">Feuil1!L334</f>
        <v>55</v>
      </c>
      <c r="M334" s="1" t="s">
        <v>17</v>
      </c>
      <c r="N334" s="1" t="s">
        <v>18</v>
      </c>
      <c r="O334" s="1" t="s">
        <v>19</v>
      </c>
      <c r="P334" s="4" t="n">
        <v>45973.466099537</v>
      </c>
      <c r="Q334" s="4" t="n">
        <v>45973.466099537</v>
      </c>
    </row>
    <row r="335" customFormat="false" ht="15" hidden="false" customHeight="false" outlineLevel="0" collapsed="false">
      <c r="A335" s="1" t="str">
        <f aca="false">Feuil1!H335</f>
        <v>54080</v>
      </c>
      <c r="B335" s="1" t="s">
        <v>17</v>
      </c>
      <c r="C335" s="1" t="s">
        <v>17</v>
      </c>
      <c r="D335" s="1" t="s">
        <v>17</v>
      </c>
      <c r="E335" s="1" t="s">
        <v>17</v>
      </c>
      <c r="F335" s="1" t="s">
        <v>17</v>
      </c>
      <c r="G335" s="1" t="s">
        <v>17</v>
      </c>
      <c r="H335" s="1" t="s">
        <v>17</v>
      </c>
      <c r="I335" s="3" t="str">
        <f aca="false">Feuil1!I335</f>
        <v>Chaussures Alpin </v>
      </c>
      <c r="J335" s="3" t="str">
        <f aca="false">Feuil1!J335</f>
        <v>lange rx</v>
      </c>
      <c r="K335" s="3" t="str">
        <f aca="false">Feuil1!K335</f>
        <v>42 (EU) / 26 (MP)</v>
      </c>
      <c r="L335" s="3" t="n">
        <f aca="false">Feuil1!L335</f>
        <v>59</v>
      </c>
      <c r="M335" s="1" t="s">
        <v>17</v>
      </c>
      <c r="N335" s="1" t="s">
        <v>18</v>
      </c>
      <c r="O335" s="1" t="s">
        <v>19</v>
      </c>
      <c r="P335" s="4" t="n">
        <v>45973.466099537</v>
      </c>
      <c r="Q335" s="4" t="n">
        <v>45973.466099537</v>
      </c>
    </row>
    <row r="336" customFormat="false" ht="15" hidden="false" customHeight="false" outlineLevel="0" collapsed="false">
      <c r="A336" s="1" t="str">
        <f aca="false">Feuil1!H336</f>
        <v>54081</v>
      </c>
      <c r="B336" s="1" t="s">
        <v>17</v>
      </c>
      <c r="C336" s="1" t="s">
        <v>17</v>
      </c>
      <c r="D336" s="1" t="s">
        <v>17</v>
      </c>
      <c r="E336" s="1" t="s">
        <v>17</v>
      </c>
      <c r="F336" s="1" t="s">
        <v>17</v>
      </c>
      <c r="G336" s="1" t="s">
        <v>17</v>
      </c>
      <c r="H336" s="1" t="s">
        <v>17</v>
      </c>
      <c r="I336" s="3" t="str">
        <f aca="false">Feuil1!I336</f>
        <v>Chaussures Alpin </v>
      </c>
      <c r="J336" s="3" t="str">
        <f aca="false">Feuil1!J336</f>
        <v>salomon spro</v>
      </c>
      <c r="K336" s="3" t="str">
        <f aca="false">Feuil1!K336</f>
        <v>41 (EU) / 26 (MP)</v>
      </c>
      <c r="L336" s="3" t="n">
        <f aca="false">Feuil1!L336</f>
        <v>55</v>
      </c>
      <c r="M336" s="1" t="s">
        <v>17</v>
      </c>
      <c r="N336" s="1" t="s">
        <v>18</v>
      </c>
      <c r="O336" s="1" t="s">
        <v>19</v>
      </c>
      <c r="P336" s="4" t="n">
        <v>45973.466099537</v>
      </c>
      <c r="Q336" s="4" t="n">
        <v>45973.466099537</v>
      </c>
    </row>
    <row r="337" customFormat="false" ht="15" hidden="false" customHeight="false" outlineLevel="0" collapsed="false">
      <c r="A337" s="1" t="str">
        <f aca="false">Feuil1!H337</f>
        <v>54082</v>
      </c>
      <c r="B337" s="1" t="s">
        <v>17</v>
      </c>
      <c r="C337" s="1" t="s">
        <v>17</v>
      </c>
      <c r="D337" s="1" t="s">
        <v>17</v>
      </c>
      <c r="E337" s="1" t="s">
        <v>17</v>
      </c>
      <c r="F337" s="1" t="s">
        <v>17</v>
      </c>
      <c r="G337" s="1" t="s">
        <v>17</v>
      </c>
      <c r="H337" s="1" t="s">
        <v>17</v>
      </c>
      <c r="I337" s="3" t="str">
        <f aca="false">Feuil1!I337</f>
        <v>Chaussures Alpin </v>
      </c>
      <c r="J337" s="3" t="str">
        <f aca="false">Feuil1!J337</f>
        <v>lange lx</v>
      </c>
      <c r="K337" s="3" t="str">
        <f aca="false">Feuil1!K337</f>
        <v>40 (EU) / 25 (MP)</v>
      </c>
      <c r="L337" s="3" t="n">
        <f aca="false">Feuil1!L337</f>
        <v>49</v>
      </c>
      <c r="M337" s="1" t="s">
        <v>17</v>
      </c>
      <c r="N337" s="1" t="s">
        <v>18</v>
      </c>
      <c r="O337" s="1" t="s">
        <v>19</v>
      </c>
      <c r="P337" s="4" t="n">
        <v>45973.466099537</v>
      </c>
      <c r="Q337" s="4" t="n">
        <v>45973.466099537</v>
      </c>
    </row>
    <row r="338" customFormat="false" ht="15" hidden="false" customHeight="false" outlineLevel="0" collapsed="false">
      <c r="A338" s="1" t="str">
        <f aca="false">Feuil1!H338</f>
        <v>54083</v>
      </c>
      <c r="B338" s="1" t="s">
        <v>17</v>
      </c>
      <c r="C338" s="1" t="s">
        <v>17</v>
      </c>
      <c r="D338" s="1" t="s">
        <v>17</v>
      </c>
      <c r="E338" s="1" t="s">
        <v>17</v>
      </c>
      <c r="F338" s="1" t="s">
        <v>17</v>
      </c>
      <c r="G338" s="1" t="s">
        <v>17</v>
      </c>
      <c r="H338" s="1" t="s">
        <v>17</v>
      </c>
      <c r="I338" s="3" t="str">
        <f aca="false">Feuil1!I338</f>
        <v>Chaussures Alpin </v>
      </c>
      <c r="J338" s="3" t="str">
        <f aca="false">Feuil1!J338</f>
        <v>salomon spro</v>
      </c>
      <c r="K338" s="3" t="str">
        <f aca="false">Feuil1!K338</f>
        <v>41 (EU) / 26 (MP)</v>
      </c>
      <c r="L338" s="3" t="n">
        <f aca="false">Feuil1!L338</f>
        <v>55</v>
      </c>
      <c r="M338" s="1" t="s">
        <v>17</v>
      </c>
      <c r="N338" s="1" t="s">
        <v>18</v>
      </c>
      <c r="O338" s="1" t="s">
        <v>19</v>
      </c>
      <c r="P338" s="4" t="n">
        <v>45973.466099537</v>
      </c>
      <c r="Q338" s="4" t="n">
        <v>45973.466099537</v>
      </c>
    </row>
    <row r="339" customFormat="false" ht="15" hidden="false" customHeight="false" outlineLevel="0" collapsed="false">
      <c r="A339" s="1" t="str">
        <f aca="false">Feuil1!H339</f>
        <v>54084</v>
      </c>
      <c r="B339" s="1" t="s">
        <v>17</v>
      </c>
      <c r="C339" s="1" t="s">
        <v>17</v>
      </c>
      <c r="D339" s="1" t="s">
        <v>17</v>
      </c>
      <c r="E339" s="1" t="s">
        <v>17</v>
      </c>
      <c r="F339" s="1" t="s">
        <v>17</v>
      </c>
      <c r="G339" s="1" t="s">
        <v>17</v>
      </c>
      <c r="H339" s="1" t="s">
        <v>17</v>
      </c>
      <c r="I339" s="3" t="str">
        <f aca="false">Feuil1!I339</f>
        <v>Chaussures Alpin </v>
      </c>
      <c r="J339" s="3" t="str">
        <f aca="false">Feuil1!J339</f>
        <v>lange lx</v>
      </c>
      <c r="K339" s="3" t="str">
        <f aca="false">Feuil1!K339</f>
        <v>41 (EU) / 26 (MP)</v>
      </c>
      <c r="L339" s="3" t="n">
        <f aca="false">Feuil1!L339</f>
        <v>49</v>
      </c>
      <c r="M339" s="1" t="s">
        <v>17</v>
      </c>
      <c r="N339" s="1" t="s">
        <v>18</v>
      </c>
      <c r="O339" s="1" t="s">
        <v>19</v>
      </c>
      <c r="P339" s="4" t="n">
        <v>45973.466099537</v>
      </c>
      <c r="Q339" s="4" t="n">
        <v>45973.466099537</v>
      </c>
    </row>
    <row r="340" customFormat="false" ht="15" hidden="false" customHeight="false" outlineLevel="0" collapsed="false">
      <c r="A340" s="1" t="str">
        <f aca="false">Feuil1!H340</f>
        <v>54085</v>
      </c>
      <c r="B340" s="1" t="s">
        <v>17</v>
      </c>
      <c r="C340" s="1" t="s">
        <v>17</v>
      </c>
      <c r="D340" s="1" t="s">
        <v>17</v>
      </c>
      <c r="E340" s="1" t="s">
        <v>17</v>
      </c>
      <c r="F340" s="1" t="s">
        <v>17</v>
      </c>
      <c r="G340" s="1" t="s">
        <v>17</v>
      </c>
      <c r="H340" s="1" t="s">
        <v>17</v>
      </c>
      <c r="I340" s="3" t="str">
        <f aca="false">Feuil1!I340</f>
        <v>Chaussures Alpin </v>
      </c>
      <c r="J340" s="3" t="str">
        <f aca="false">Feuil1!J340</f>
        <v>salomon acces</v>
      </c>
      <c r="K340" s="3" t="str">
        <f aca="false">Feuil1!K340</f>
        <v>41 (EU) / 26 (MP)</v>
      </c>
      <c r="L340" s="3" t="n">
        <f aca="false">Feuil1!L340</f>
        <v>55</v>
      </c>
      <c r="M340" s="1" t="s">
        <v>17</v>
      </c>
      <c r="N340" s="1" t="s">
        <v>18</v>
      </c>
      <c r="O340" s="1" t="s">
        <v>19</v>
      </c>
      <c r="P340" s="4" t="n">
        <v>45973.466099537</v>
      </c>
      <c r="Q340" s="4" t="n">
        <v>45973.466099537</v>
      </c>
    </row>
    <row r="341" customFormat="false" ht="15" hidden="false" customHeight="false" outlineLevel="0" collapsed="false">
      <c r="A341" s="1" t="str">
        <f aca="false">Feuil1!H341</f>
        <v>54086</v>
      </c>
      <c r="B341" s="1" t="s">
        <v>17</v>
      </c>
      <c r="C341" s="1" t="s">
        <v>17</v>
      </c>
      <c r="D341" s="1" t="s">
        <v>17</v>
      </c>
      <c r="E341" s="1" t="s">
        <v>17</v>
      </c>
      <c r="F341" s="1" t="s">
        <v>17</v>
      </c>
      <c r="G341" s="1" t="s">
        <v>17</v>
      </c>
      <c r="H341" s="1" t="s">
        <v>17</v>
      </c>
      <c r="I341" s="3" t="str">
        <f aca="false">Feuil1!I341</f>
        <v>Chaussures Alpin </v>
      </c>
      <c r="J341" s="3" t="str">
        <f aca="false">Feuil1!J341</f>
        <v>tecnica mach</v>
      </c>
      <c r="K341" s="3" t="str">
        <f aca="false">Feuil1!K341</f>
        <v>40 (EU) / 25 (MP)</v>
      </c>
      <c r="L341" s="3" t="n">
        <f aca="false">Feuil1!L341</f>
        <v>55</v>
      </c>
      <c r="M341" s="1" t="s">
        <v>17</v>
      </c>
      <c r="N341" s="1" t="s">
        <v>18</v>
      </c>
      <c r="O341" s="1" t="s">
        <v>19</v>
      </c>
      <c r="P341" s="4" t="n">
        <v>45973.466099537</v>
      </c>
      <c r="Q341" s="4" t="n">
        <v>45973.466099537</v>
      </c>
    </row>
    <row r="342" customFormat="false" ht="15" hidden="false" customHeight="false" outlineLevel="0" collapsed="false">
      <c r="A342" s="1" t="str">
        <f aca="false">Feuil1!H342</f>
        <v>54087</v>
      </c>
      <c r="B342" s="1" t="s">
        <v>17</v>
      </c>
      <c r="C342" s="1" t="s">
        <v>17</v>
      </c>
      <c r="D342" s="1" t="s">
        <v>17</v>
      </c>
      <c r="E342" s="1" t="s">
        <v>17</v>
      </c>
      <c r="F342" s="1" t="s">
        <v>17</v>
      </c>
      <c r="G342" s="1" t="s">
        <v>17</v>
      </c>
      <c r="H342" s="1" t="s">
        <v>17</v>
      </c>
      <c r="I342" s="3" t="str">
        <f aca="false">Feuil1!I342</f>
        <v>Chaussures Alpin </v>
      </c>
      <c r="J342" s="3" t="str">
        <f aca="false">Feuil1!J342</f>
        <v>rossignol alltrack</v>
      </c>
      <c r="K342" s="3" t="str">
        <f aca="false">Feuil1!K342</f>
        <v>41 (EU) / 26 (MP)</v>
      </c>
      <c r="L342" s="3" t="n">
        <f aca="false">Feuil1!L342</f>
        <v>55</v>
      </c>
      <c r="M342" s="1" t="s">
        <v>17</v>
      </c>
      <c r="N342" s="1" t="s">
        <v>18</v>
      </c>
      <c r="O342" s="1" t="s">
        <v>19</v>
      </c>
      <c r="P342" s="4" t="n">
        <v>45973.466099537</v>
      </c>
      <c r="Q342" s="4" t="n">
        <v>45973.466099537</v>
      </c>
    </row>
    <row r="343" customFormat="false" ht="15" hidden="false" customHeight="false" outlineLevel="0" collapsed="false">
      <c r="A343" s="1" t="str">
        <f aca="false">Feuil1!H343</f>
        <v>54088</v>
      </c>
      <c r="B343" s="1" t="s">
        <v>17</v>
      </c>
      <c r="C343" s="1" t="s">
        <v>17</v>
      </c>
      <c r="D343" s="1" t="s">
        <v>17</v>
      </c>
      <c r="E343" s="1" t="s">
        <v>17</v>
      </c>
      <c r="F343" s="1" t="s">
        <v>17</v>
      </c>
      <c r="G343" s="1" t="s">
        <v>17</v>
      </c>
      <c r="H343" s="1" t="s">
        <v>17</v>
      </c>
      <c r="I343" s="3" t="str">
        <f aca="false">Feuil1!I343</f>
        <v>Chaussures Alpin </v>
      </c>
      <c r="J343" s="3" t="str">
        <f aca="false">Feuil1!J343</f>
        <v>atomic hawks</v>
      </c>
      <c r="K343" s="3" t="str">
        <f aca="false">Feuil1!K343</f>
        <v>41 (EU) / 26 (MP)</v>
      </c>
      <c r="L343" s="3" t="n">
        <f aca="false">Feuil1!L343</f>
        <v>49</v>
      </c>
      <c r="M343" s="1" t="s">
        <v>17</v>
      </c>
      <c r="N343" s="1" t="s">
        <v>18</v>
      </c>
      <c r="O343" s="1" t="s">
        <v>19</v>
      </c>
      <c r="P343" s="4" t="n">
        <v>45973.466099537</v>
      </c>
      <c r="Q343" s="4" t="n">
        <v>45973.466099537</v>
      </c>
    </row>
    <row r="344" customFormat="false" ht="15" hidden="false" customHeight="false" outlineLevel="0" collapsed="false">
      <c r="A344" s="1" t="str">
        <f aca="false">Feuil1!H344</f>
        <v>54089</v>
      </c>
      <c r="B344" s="1" t="s">
        <v>17</v>
      </c>
      <c r="C344" s="1" t="s">
        <v>17</v>
      </c>
      <c r="D344" s="1" t="s">
        <v>17</v>
      </c>
      <c r="E344" s="1" t="s">
        <v>17</v>
      </c>
      <c r="F344" s="1" t="s">
        <v>17</v>
      </c>
      <c r="G344" s="1" t="s">
        <v>17</v>
      </c>
      <c r="H344" s="1" t="s">
        <v>17</v>
      </c>
      <c r="I344" s="3" t="str">
        <f aca="false">Feuil1!I344</f>
        <v>Chaussures Alpin </v>
      </c>
      <c r="J344" s="3" t="str">
        <f aca="false">Feuil1!J344</f>
        <v>roxa fit</v>
      </c>
      <c r="K344" s="3" t="str">
        <f aca="false">Feuil1!K344</f>
        <v>41 (EU) / 26 (MP)</v>
      </c>
      <c r="L344" s="3" t="n">
        <f aca="false">Feuil1!L344</f>
        <v>49</v>
      </c>
      <c r="M344" s="1" t="s">
        <v>17</v>
      </c>
      <c r="N344" s="1" t="s">
        <v>18</v>
      </c>
      <c r="O344" s="1" t="s">
        <v>19</v>
      </c>
      <c r="P344" s="4" t="n">
        <v>45973.466099537</v>
      </c>
      <c r="Q344" s="4" t="n">
        <v>45973.466099537</v>
      </c>
    </row>
    <row r="345" customFormat="false" ht="15" hidden="false" customHeight="false" outlineLevel="0" collapsed="false">
      <c r="A345" s="1" t="str">
        <f aca="false">Feuil1!H345</f>
        <v>54090</v>
      </c>
      <c r="B345" s="1" t="s">
        <v>17</v>
      </c>
      <c r="C345" s="1" t="s">
        <v>17</v>
      </c>
      <c r="D345" s="1" t="s">
        <v>17</v>
      </c>
      <c r="E345" s="1" t="s">
        <v>17</v>
      </c>
      <c r="F345" s="1" t="s">
        <v>17</v>
      </c>
      <c r="G345" s="1" t="s">
        <v>17</v>
      </c>
      <c r="H345" s="1" t="s">
        <v>17</v>
      </c>
      <c r="I345" s="3" t="str">
        <f aca="false">Feuil1!I345</f>
        <v>Chaussures Alpin </v>
      </c>
      <c r="J345" s="3" t="str">
        <f aca="false">Feuil1!J345</f>
        <v>tecnica mach</v>
      </c>
      <c r="K345" s="3" t="str">
        <f aca="false">Feuil1!K345</f>
        <v>41 (EU) / 26 (MP)</v>
      </c>
      <c r="L345" s="3" t="n">
        <f aca="false">Feuil1!L345</f>
        <v>55</v>
      </c>
      <c r="M345" s="1" t="s">
        <v>17</v>
      </c>
      <c r="N345" s="1" t="s">
        <v>18</v>
      </c>
      <c r="O345" s="1" t="s">
        <v>19</v>
      </c>
      <c r="P345" s="4" t="n">
        <v>45973.466099537</v>
      </c>
      <c r="Q345" s="4" t="n">
        <v>45973.466099537</v>
      </c>
    </row>
    <row r="346" customFormat="false" ht="15" hidden="false" customHeight="false" outlineLevel="0" collapsed="false">
      <c r="A346" s="1" t="str">
        <f aca="false">Feuil1!H346</f>
        <v>54091</v>
      </c>
      <c r="B346" s="1" t="s">
        <v>17</v>
      </c>
      <c r="C346" s="1" t="s">
        <v>17</v>
      </c>
      <c r="D346" s="1" t="s">
        <v>17</v>
      </c>
      <c r="E346" s="1" t="s">
        <v>17</v>
      </c>
      <c r="F346" s="1" t="s">
        <v>17</v>
      </c>
      <c r="G346" s="1" t="s">
        <v>17</v>
      </c>
      <c r="H346" s="1" t="s">
        <v>17</v>
      </c>
      <c r="I346" s="3" t="str">
        <f aca="false">Feuil1!I346</f>
        <v>Chaussures Alpin </v>
      </c>
      <c r="J346" s="3" t="str">
        <f aca="false">Feuil1!J346</f>
        <v>tecnica mach</v>
      </c>
      <c r="K346" s="3" t="str">
        <f aca="false">Feuil1!K346</f>
        <v>40 (EU) / 25 (MP)</v>
      </c>
      <c r="L346" s="3" t="n">
        <f aca="false">Feuil1!L346</f>
        <v>55</v>
      </c>
      <c r="M346" s="1" t="s">
        <v>17</v>
      </c>
      <c r="N346" s="1" t="s">
        <v>18</v>
      </c>
      <c r="O346" s="1" t="s">
        <v>19</v>
      </c>
      <c r="P346" s="4" t="n">
        <v>45973.466099537</v>
      </c>
      <c r="Q346" s="4" t="n">
        <v>45973.466099537</v>
      </c>
    </row>
    <row r="347" customFormat="false" ht="15" hidden="false" customHeight="false" outlineLevel="0" collapsed="false">
      <c r="A347" s="1" t="str">
        <f aca="false">Feuil1!H347</f>
        <v>54092</v>
      </c>
      <c r="B347" s="1" t="s">
        <v>17</v>
      </c>
      <c r="C347" s="1" t="s">
        <v>17</v>
      </c>
      <c r="D347" s="1" t="s">
        <v>17</v>
      </c>
      <c r="E347" s="1" t="s">
        <v>17</v>
      </c>
      <c r="F347" s="1" t="s">
        <v>17</v>
      </c>
      <c r="G347" s="1" t="s">
        <v>17</v>
      </c>
      <c r="H347" s="1" t="s">
        <v>17</v>
      </c>
      <c r="I347" s="3" t="str">
        <f aca="false">Feuil1!I347</f>
        <v>Chaussures Alpin </v>
      </c>
      <c r="J347" s="3" t="str">
        <f aca="false">Feuil1!J347</f>
        <v>nordica sport</v>
      </c>
      <c r="K347" s="3" t="str">
        <f aca="false">Feuil1!K347</f>
        <v>41 (EU) / 26 (MP)</v>
      </c>
      <c r="L347" s="3" t="n">
        <f aca="false">Feuil1!L347</f>
        <v>55</v>
      </c>
      <c r="M347" s="1" t="s">
        <v>17</v>
      </c>
      <c r="N347" s="1" t="s">
        <v>18</v>
      </c>
      <c r="O347" s="1" t="s">
        <v>19</v>
      </c>
      <c r="P347" s="4" t="n">
        <v>45973.466099537</v>
      </c>
      <c r="Q347" s="4" t="n">
        <v>45973.466099537</v>
      </c>
    </row>
    <row r="348" customFormat="false" ht="15" hidden="false" customHeight="false" outlineLevel="0" collapsed="false">
      <c r="A348" s="1" t="str">
        <f aca="false">Feuil1!H348</f>
        <v>54093</v>
      </c>
      <c r="B348" s="1" t="s">
        <v>17</v>
      </c>
      <c r="C348" s="1" t="s">
        <v>17</v>
      </c>
      <c r="D348" s="1" t="s">
        <v>17</v>
      </c>
      <c r="E348" s="1" t="s">
        <v>17</v>
      </c>
      <c r="F348" s="1" t="s">
        <v>17</v>
      </c>
      <c r="G348" s="1" t="s">
        <v>17</v>
      </c>
      <c r="H348" s="1" t="s">
        <v>17</v>
      </c>
      <c r="I348" s="3" t="str">
        <f aca="false">Feuil1!I348</f>
        <v>Chaussures Alpin </v>
      </c>
      <c r="J348" s="3" t="str">
        <f aca="false">Feuil1!J348</f>
        <v>rossignol alltrack</v>
      </c>
      <c r="K348" s="3" t="str">
        <f aca="false">Feuil1!K348</f>
        <v>41 (EU) / 26 (MP)</v>
      </c>
      <c r="L348" s="3" t="n">
        <f aca="false">Feuil1!L348</f>
        <v>49</v>
      </c>
      <c r="M348" s="1" t="s">
        <v>17</v>
      </c>
      <c r="N348" s="1" t="s">
        <v>18</v>
      </c>
      <c r="O348" s="1" t="s">
        <v>19</v>
      </c>
      <c r="P348" s="4" t="n">
        <v>45973.466099537</v>
      </c>
      <c r="Q348" s="4" t="n">
        <v>45973.466099537</v>
      </c>
    </row>
    <row r="349" customFormat="false" ht="15" hidden="false" customHeight="false" outlineLevel="0" collapsed="false">
      <c r="A349" s="1" t="str">
        <f aca="false">Feuil1!H349</f>
        <v>54094</v>
      </c>
      <c r="B349" s="1" t="s">
        <v>17</v>
      </c>
      <c r="C349" s="1" t="s">
        <v>17</v>
      </c>
      <c r="D349" s="1" t="s">
        <v>17</v>
      </c>
      <c r="E349" s="1" t="s">
        <v>17</v>
      </c>
      <c r="F349" s="1" t="s">
        <v>17</v>
      </c>
      <c r="G349" s="1" t="s">
        <v>17</v>
      </c>
      <c r="H349" s="1" t="s">
        <v>17</v>
      </c>
      <c r="I349" s="3" t="str">
        <f aca="false">Feuil1!I349</f>
        <v>Chaussures Alpin </v>
      </c>
      <c r="J349" s="3" t="str">
        <f aca="false">Feuil1!J349</f>
        <v>dalbello sport</v>
      </c>
      <c r="K349" s="3" t="str">
        <f aca="false">Feuil1!K349</f>
        <v>41 (EU) / 26 (MP)</v>
      </c>
      <c r="L349" s="3" t="n">
        <f aca="false">Feuil1!L349</f>
        <v>55</v>
      </c>
      <c r="M349" s="1" t="s">
        <v>17</v>
      </c>
      <c r="N349" s="1" t="s">
        <v>18</v>
      </c>
      <c r="O349" s="1" t="s">
        <v>19</v>
      </c>
      <c r="P349" s="4" t="n">
        <v>45973.466099537</v>
      </c>
      <c r="Q349" s="4" t="n">
        <v>45973.466099537</v>
      </c>
    </row>
    <row r="350" customFormat="false" ht="15" hidden="false" customHeight="false" outlineLevel="0" collapsed="false">
      <c r="A350" s="1" t="str">
        <f aca="false">Feuil1!H350</f>
        <v>54095</v>
      </c>
      <c r="B350" s="1" t="s">
        <v>17</v>
      </c>
      <c r="C350" s="1" t="s">
        <v>17</v>
      </c>
      <c r="D350" s="1" t="s">
        <v>17</v>
      </c>
      <c r="E350" s="1" t="s">
        <v>17</v>
      </c>
      <c r="F350" s="1" t="s">
        <v>17</v>
      </c>
      <c r="G350" s="1" t="s">
        <v>17</v>
      </c>
      <c r="H350" s="1" t="s">
        <v>17</v>
      </c>
      <c r="I350" s="3" t="str">
        <f aca="false">Feuil1!I350</f>
        <v>Chaussures Alpin </v>
      </c>
      <c r="J350" s="3" t="str">
        <f aca="false">Feuil1!J350</f>
        <v>nordica sport</v>
      </c>
      <c r="K350" s="3" t="str">
        <f aca="false">Feuil1!K350</f>
        <v>41 (EU) / 26 (MP)</v>
      </c>
      <c r="L350" s="3" t="n">
        <f aca="false">Feuil1!L350</f>
        <v>55</v>
      </c>
      <c r="M350" s="1" t="s">
        <v>17</v>
      </c>
      <c r="N350" s="1" t="s">
        <v>18</v>
      </c>
      <c r="O350" s="1" t="s">
        <v>19</v>
      </c>
      <c r="P350" s="4" t="n">
        <v>45973.466099537</v>
      </c>
      <c r="Q350" s="4" t="n">
        <v>45973.466099537</v>
      </c>
    </row>
    <row r="351" customFormat="false" ht="15" hidden="false" customHeight="false" outlineLevel="0" collapsed="false">
      <c r="A351" s="1" t="str">
        <f aca="false">Feuil1!H351</f>
        <v>54096</v>
      </c>
      <c r="B351" s="1" t="s">
        <v>17</v>
      </c>
      <c r="C351" s="1" t="s">
        <v>17</v>
      </c>
      <c r="D351" s="1" t="s">
        <v>17</v>
      </c>
      <c r="E351" s="1" t="s">
        <v>17</v>
      </c>
      <c r="F351" s="1" t="s">
        <v>17</v>
      </c>
      <c r="G351" s="1" t="s">
        <v>17</v>
      </c>
      <c r="H351" s="1" t="s">
        <v>17</v>
      </c>
      <c r="I351" s="3" t="str">
        <f aca="false">Feuil1!I351</f>
        <v>Chaussures Alpin </v>
      </c>
      <c r="J351" s="3" t="str">
        <f aca="false">Feuil1!J351</f>
        <v>lange rx</v>
      </c>
      <c r="K351" s="3" t="str">
        <f aca="false">Feuil1!K351</f>
        <v>41 (EU) / 26 (MP)</v>
      </c>
      <c r="L351" s="3" t="n">
        <f aca="false">Feuil1!L351</f>
        <v>49</v>
      </c>
      <c r="M351" s="1" t="s">
        <v>17</v>
      </c>
      <c r="N351" s="1" t="s">
        <v>18</v>
      </c>
      <c r="O351" s="1" t="s">
        <v>19</v>
      </c>
      <c r="P351" s="4" t="n">
        <v>45973.466099537</v>
      </c>
      <c r="Q351" s="4" t="n">
        <v>45973.466099537</v>
      </c>
    </row>
    <row r="352" customFormat="false" ht="15" hidden="false" customHeight="false" outlineLevel="0" collapsed="false">
      <c r="A352" s="1" t="str">
        <f aca="false">Feuil1!H352</f>
        <v>54097</v>
      </c>
      <c r="B352" s="1" t="s">
        <v>17</v>
      </c>
      <c r="C352" s="1" t="s">
        <v>17</v>
      </c>
      <c r="D352" s="1" t="s">
        <v>17</v>
      </c>
      <c r="E352" s="1" t="s">
        <v>17</v>
      </c>
      <c r="F352" s="1" t="s">
        <v>17</v>
      </c>
      <c r="G352" s="1" t="s">
        <v>17</v>
      </c>
      <c r="H352" s="1" t="s">
        <v>17</v>
      </c>
      <c r="I352" s="3" t="str">
        <f aca="false">Feuil1!I352</f>
        <v>Chaussures Alpin </v>
      </c>
      <c r="J352" s="3" t="str">
        <f aca="false">Feuil1!J352</f>
        <v>dalbello ltd</v>
      </c>
      <c r="K352" s="3" t="str">
        <f aca="false">Feuil1!K352</f>
        <v>41 (EU) / 26 (MP)</v>
      </c>
      <c r="L352" s="3" t="n">
        <f aca="false">Feuil1!L352</f>
        <v>55</v>
      </c>
      <c r="M352" s="1" t="s">
        <v>17</v>
      </c>
      <c r="N352" s="1" t="s">
        <v>18</v>
      </c>
      <c r="O352" s="1" t="s">
        <v>19</v>
      </c>
      <c r="P352" s="4" t="n">
        <v>45973.466099537</v>
      </c>
      <c r="Q352" s="4" t="n">
        <v>45973.466099537</v>
      </c>
    </row>
    <row r="353" customFormat="false" ht="15" hidden="false" customHeight="false" outlineLevel="0" collapsed="false">
      <c r="A353" s="1" t="str">
        <f aca="false">Feuil1!H353</f>
        <v>54098</v>
      </c>
      <c r="B353" s="1" t="s">
        <v>17</v>
      </c>
      <c r="C353" s="1" t="s">
        <v>17</v>
      </c>
      <c r="D353" s="1" t="s">
        <v>17</v>
      </c>
      <c r="E353" s="1" t="s">
        <v>17</v>
      </c>
      <c r="F353" s="1" t="s">
        <v>17</v>
      </c>
      <c r="G353" s="1" t="s">
        <v>17</v>
      </c>
      <c r="H353" s="1" t="s">
        <v>17</v>
      </c>
      <c r="I353" s="3" t="str">
        <f aca="false">Feuil1!I353</f>
        <v>Chaussures Alpin </v>
      </c>
      <c r="J353" s="3" t="str">
        <f aca="false">Feuil1!J353</f>
        <v>lange lx</v>
      </c>
      <c r="K353" s="3" t="str">
        <f aca="false">Feuil1!K353</f>
        <v>40 (EU) / 25 (MP)</v>
      </c>
      <c r="L353" s="3" t="n">
        <f aca="false">Feuil1!L353</f>
        <v>49</v>
      </c>
      <c r="M353" s="1" t="s">
        <v>17</v>
      </c>
      <c r="N353" s="1" t="s">
        <v>18</v>
      </c>
      <c r="O353" s="1" t="s">
        <v>19</v>
      </c>
      <c r="P353" s="4" t="n">
        <v>45973.466099537</v>
      </c>
      <c r="Q353" s="4" t="n">
        <v>45973.466099537</v>
      </c>
    </row>
    <row r="354" customFormat="false" ht="15" hidden="false" customHeight="false" outlineLevel="0" collapsed="false">
      <c r="A354" s="1" t="str">
        <f aca="false">Feuil1!H354</f>
        <v>54099</v>
      </c>
      <c r="B354" s="1" t="s">
        <v>17</v>
      </c>
      <c r="C354" s="1" t="s">
        <v>17</v>
      </c>
      <c r="D354" s="1" t="s">
        <v>17</v>
      </c>
      <c r="E354" s="1" t="s">
        <v>17</v>
      </c>
      <c r="F354" s="1" t="s">
        <v>17</v>
      </c>
      <c r="G354" s="1" t="s">
        <v>17</v>
      </c>
      <c r="H354" s="1" t="s">
        <v>17</v>
      </c>
      <c r="I354" s="3" t="str">
        <f aca="false">Feuil1!I354</f>
        <v>Chaussures Alpin </v>
      </c>
      <c r="J354" s="3" t="str">
        <f aca="false">Feuil1!J354</f>
        <v>tecnica mach</v>
      </c>
      <c r="K354" s="3" t="str">
        <f aca="false">Feuil1!K354</f>
        <v>40 (EU) / 25 (MP)</v>
      </c>
      <c r="L354" s="3" t="n">
        <f aca="false">Feuil1!L354</f>
        <v>55</v>
      </c>
      <c r="M354" s="1" t="s">
        <v>17</v>
      </c>
      <c r="N354" s="1" t="s">
        <v>18</v>
      </c>
      <c r="O354" s="1" t="s">
        <v>19</v>
      </c>
      <c r="P354" s="4" t="n">
        <v>45973.466099537</v>
      </c>
      <c r="Q354" s="4" t="n">
        <v>45973.466099537</v>
      </c>
    </row>
    <row r="355" customFormat="false" ht="15" hidden="false" customHeight="false" outlineLevel="0" collapsed="false">
      <c r="A355" s="1" t="str">
        <f aca="false">Feuil1!H355</f>
        <v>54100</v>
      </c>
      <c r="B355" s="1" t="s">
        <v>17</v>
      </c>
      <c r="C355" s="1" t="s">
        <v>17</v>
      </c>
      <c r="D355" s="1" t="s">
        <v>17</v>
      </c>
      <c r="E355" s="1" t="s">
        <v>17</v>
      </c>
      <c r="F355" s="1" t="s">
        <v>17</v>
      </c>
      <c r="G355" s="1" t="s">
        <v>17</v>
      </c>
      <c r="H355" s="1" t="s">
        <v>17</v>
      </c>
      <c r="I355" s="3" t="str">
        <f aca="false">Feuil1!I355</f>
        <v>Chaussures Alpin </v>
      </c>
      <c r="J355" s="3" t="str">
        <f aca="false">Feuil1!J355</f>
        <v>atomic hawks</v>
      </c>
      <c r="K355" s="3" t="str">
        <f aca="false">Feuil1!K355</f>
        <v>40 (EU) / 25 (MP)</v>
      </c>
      <c r="L355" s="3" t="n">
        <f aca="false">Feuil1!L355</f>
        <v>55</v>
      </c>
      <c r="M355" s="1" t="s">
        <v>17</v>
      </c>
      <c r="N355" s="1" t="s">
        <v>18</v>
      </c>
      <c r="O355" s="1" t="s">
        <v>19</v>
      </c>
      <c r="P355" s="4" t="n">
        <v>45973.466099537</v>
      </c>
      <c r="Q355" s="4" t="n">
        <v>45973.466099537</v>
      </c>
    </row>
    <row r="356" customFormat="false" ht="15" hidden="false" customHeight="false" outlineLevel="0" collapsed="false">
      <c r="A356" s="1" t="str">
        <f aca="false">Feuil1!H356</f>
        <v>54101</v>
      </c>
      <c r="B356" s="1" t="s">
        <v>17</v>
      </c>
      <c r="C356" s="1" t="s">
        <v>17</v>
      </c>
      <c r="D356" s="1" t="s">
        <v>17</v>
      </c>
      <c r="E356" s="1" t="s">
        <v>17</v>
      </c>
      <c r="F356" s="1" t="s">
        <v>17</v>
      </c>
      <c r="G356" s="1" t="s">
        <v>17</v>
      </c>
      <c r="H356" s="1" t="s">
        <v>17</v>
      </c>
      <c r="I356" s="3" t="str">
        <f aca="false">Feuil1!I356</f>
        <v>Chaussures Alpin </v>
      </c>
      <c r="J356" s="3" t="str">
        <f aca="false">Feuil1!J356</f>
        <v>rossignol alltrack</v>
      </c>
      <c r="K356" s="3" t="str">
        <f aca="false">Feuil1!K356</f>
        <v>40 (EU) / 25 (MP)</v>
      </c>
      <c r="L356" s="3" t="n">
        <f aca="false">Feuil1!L356</f>
        <v>59</v>
      </c>
      <c r="M356" s="1" t="s">
        <v>17</v>
      </c>
      <c r="N356" s="1" t="s">
        <v>18</v>
      </c>
      <c r="O356" s="1" t="s">
        <v>19</v>
      </c>
      <c r="P356" s="4" t="n">
        <v>45973.466099537</v>
      </c>
      <c r="Q356" s="4" t="n">
        <v>45973.466099537</v>
      </c>
    </row>
    <row r="357" customFormat="false" ht="15" hidden="false" customHeight="false" outlineLevel="0" collapsed="false">
      <c r="A357" s="1" t="str">
        <f aca="false">Feuil1!H357</f>
        <v>54102</v>
      </c>
      <c r="B357" s="1" t="s">
        <v>17</v>
      </c>
      <c r="C357" s="1" t="s">
        <v>17</v>
      </c>
      <c r="D357" s="1" t="s">
        <v>17</v>
      </c>
      <c r="E357" s="1" t="s">
        <v>17</v>
      </c>
      <c r="F357" s="1" t="s">
        <v>17</v>
      </c>
      <c r="G357" s="1" t="s">
        <v>17</v>
      </c>
      <c r="H357" s="1" t="s">
        <v>17</v>
      </c>
      <c r="I357" s="3" t="str">
        <f aca="false">Feuil1!I357</f>
        <v>Chaussures Alpin </v>
      </c>
      <c r="J357" s="3" t="str">
        <f aca="false">Feuil1!J357</f>
        <v>dalbello viper</v>
      </c>
      <c r="K357" s="3" t="str">
        <f aca="false">Feuil1!K357</f>
        <v>41 (EU) / 26 (MP)</v>
      </c>
      <c r="L357" s="3" t="n">
        <f aca="false">Feuil1!L357</f>
        <v>59</v>
      </c>
      <c r="M357" s="1" t="s">
        <v>17</v>
      </c>
      <c r="N357" s="1" t="s">
        <v>18</v>
      </c>
      <c r="O357" s="1" t="s">
        <v>19</v>
      </c>
      <c r="P357" s="4" t="n">
        <v>45973.466099537</v>
      </c>
      <c r="Q357" s="4" t="n">
        <v>45973.466099537</v>
      </c>
    </row>
    <row r="358" customFormat="false" ht="15" hidden="false" customHeight="false" outlineLevel="0" collapsed="false">
      <c r="A358" s="1" t="str">
        <f aca="false">Feuil1!H358</f>
        <v>54103</v>
      </c>
      <c r="B358" s="1" t="s">
        <v>17</v>
      </c>
      <c r="C358" s="1" t="s">
        <v>17</v>
      </c>
      <c r="D358" s="1" t="s">
        <v>17</v>
      </c>
      <c r="E358" s="1" t="s">
        <v>17</v>
      </c>
      <c r="F358" s="1" t="s">
        <v>17</v>
      </c>
      <c r="G358" s="1" t="s">
        <v>17</v>
      </c>
      <c r="H358" s="1" t="s">
        <v>17</v>
      </c>
      <c r="I358" s="3" t="str">
        <f aca="false">Feuil1!I358</f>
        <v>Chaussures Alpin </v>
      </c>
      <c r="J358" s="3" t="str">
        <f aca="false">Feuil1!J358</f>
        <v>tecnica mach</v>
      </c>
      <c r="K358" s="3" t="str">
        <f aca="false">Feuil1!K358</f>
        <v>40 (EU) / 25 (MP)</v>
      </c>
      <c r="L358" s="3" t="n">
        <f aca="false">Feuil1!L358</f>
        <v>55</v>
      </c>
      <c r="M358" s="1" t="s">
        <v>17</v>
      </c>
      <c r="N358" s="1" t="s">
        <v>18</v>
      </c>
      <c r="O358" s="1" t="s">
        <v>19</v>
      </c>
      <c r="P358" s="4" t="n">
        <v>45973.466099537</v>
      </c>
      <c r="Q358" s="4" t="n">
        <v>45973.466099537</v>
      </c>
    </row>
    <row r="359" customFormat="false" ht="15" hidden="false" customHeight="false" outlineLevel="0" collapsed="false">
      <c r="A359" s="1" t="str">
        <f aca="false">Feuil1!H359</f>
        <v>54104</v>
      </c>
      <c r="B359" s="1" t="s">
        <v>17</v>
      </c>
      <c r="C359" s="1" t="s">
        <v>17</v>
      </c>
      <c r="D359" s="1" t="s">
        <v>17</v>
      </c>
      <c r="E359" s="1" t="s">
        <v>17</v>
      </c>
      <c r="F359" s="1" t="s">
        <v>17</v>
      </c>
      <c r="G359" s="1" t="s">
        <v>17</v>
      </c>
      <c r="H359" s="1" t="s">
        <v>17</v>
      </c>
      <c r="I359" s="3" t="str">
        <f aca="false">Feuil1!I359</f>
        <v>Chaussures Alpin </v>
      </c>
      <c r="J359" s="3" t="str">
        <f aca="false">Feuil1!J359</f>
        <v>tecnica mach</v>
      </c>
      <c r="K359" s="3" t="str">
        <f aca="false">Feuil1!K359</f>
        <v>43 (EU) / 27 (MP)</v>
      </c>
      <c r="L359" s="3" t="n">
        <f aca="false">Feuil1!L359</f>
        <v>59</v>
      </c>
      <c r="M359" s="1" t="s">
        <v>17</v>
      </c>
      <c r="N359" s="1" t="s">
        <v>18</v>
      </c>
      <c r="O359" s="1" t="s">
        <v>19</v>
      </c>
      <c r="P359" s="4" t="n">
        <v>45973.466099537</v>
      </c>
      <c r="Q359" s="4" t="n">
        <v>45973.466099537</v>
      </c>
    </row>
    <row r="360" customFormat="false" ht="15" hidden="false" customHeight="false" outlineLevel="0" collapsed="false">
      <c r="A360" s="1" t="str">
        <f aca="false">Feuil1!H360</f>
        <v>54105</v>
      </c>
      <c r="B360" s="1" t="s">
        <v>17</v>
      </c>
      <c r="C360" s="1" t="s">
        <v>17</v>
      </c>
      <c r="D360" s="1" t="s">
        <v>17</v>
      </c>
      <c r="E360" s="1" t="s">
        <v>17</v>
      </c>
      <c r="F360" s="1" t="s">
        <v>17</v>
      </c>
      <c r="G360" s="1" t="s">
        <v>17</v>
      </c>
      <c r="H360" s="1" t="s">
        <v>17</v>
      </c>
      <c r="I360" s="3" t="str">
        <f aca="false">Feuil1!I360</f>
        <v>Chaussures Alpin </v>
      </c>
      <c r="J360" s="3" t="str">
        <f aca="false">Feuil1!J360</f>
        <v>rossignol alltrack</v>
      </c>
      <c r="K360" s="3" t="str">
        <f aca="false">Feuil1!K360</f>
        <v>42 (EU) / 26 (MP)</v>
      </c>
      <c r="L360" s="3" t="n">
        <f aca="false">Feuil1!L360</f>
        <v>55</v>
      </c>
      <c r="M360" s="1" t="s">
        <v>17</v>
      </c>
      <c r="N360" s="1" t="s">
        <v>18</v>
      </c>
      <c r="O360" s="1" t="s">
        <v>19</v>
      </c>
      <c r="P360" s="4" t="n">
        <v>45973.466099537</v>
      </c>
      <c r="Q360" s="4" t="n">
        <v>45973.466099537</v>
      </c>
    </row>
    <row r="361" customFormat="false" ht="15" hidden="false" customHeight="false" outlineLevel="0" collapsed="false">
      <c r="A361" s="1" t="str">
        <f aca="false">Feuil1!H361</f>
        <v>54106</v>
      </c>
      <c r="B361" s="1" t="s">
        <v>17</v>
      </c>
      <c r="C361" s="1" t="s">
        <v>17</v>
      </c>
      <c r="D361" s="1" t="s">
        <v>17</v>
      </c>
      <c r="E361" s="1" t="s">
        <v>17</v>
      </c>
      <c r="F361" s="1" t="s">
        <v>17</v>
      </c>
      <c r="G361" s="1" t="s">
        <v>17</v>
      </c>
      <c r="H361" s="1" t="s">
        <v>17</v>
      </c>
      <c r="I361" s="3" t="str">
        <f aca="false">Feuil1!I361</f>
        <v>Chaussures Alpin </v>
      </c>
      <c r="J361" s="3" t="str">
        <f aca="false">Feuil1!J361</f>
        <v>rossignol alltrack</v>
      </c>
      <c r="K361" s="3" t="str">
        <f aca="false">Feuil1!K361</f>
        <v>43 (EU) / 27 (MP)</v>
      </c>
      <c r="L361" s="3" t="n">
        <f aca="false">Feuil1!L361</f>
        <v>55</v>
      </c>
      <c r="M361" s="1" t="s">
        <v>17</v>
      </c>
      <c r="N361" s="1" t="s">
        <v>18</v>
      </c>
      <c r="O361" s="1" t="s">
        <v>19</v>
      </c>
      <c r="P361" s="4" t="n">
        <v>45973.466099537</v>
      </c>
      <c r="Q361" s="4" t="n">
        <v>45973.466099537</v>
      </c>
    </row>
    <row r="362" customFormat="false" ht="15" hidden="false" customHeight="false" outlineLevel="0" collapsed="false">
      <c r="A362" s="1" t="str">
        <f aca="false">Feuil1!H362</f>
        <v>54107</v>
      </c>
      <c r="B362" s="1" t="s">
        <v>17</v>
      </c>
      <c r="C362" s="1" t="s">
        <v>17</v>
      </c>
      <c r="D362" s="1" t="s">
        <v>17</v>
      </c>
      <c r="E362" s="1" t="s">
        <v>17</v>
      </c>
      <c r="F362" s="1" t="s">
        <v>17</v>
      </c>
      <c r="G362" s="1" t="s">
        <v>17</v>
      </c>
      <c r="H362" s="1" t="s">
        <v>17</v>
      </c>
      <c r="I362" s="3" t="str">
        <f aca="false">Feuil1!I362</f>
        <v>Chaussures Alpin </v>
      </c>
      <c r="J362" s="3" t="str">
        <f aca="false">Feuil1!J362</f>
        <v>nordica sport</v>
      </c>
      <c r="K362" s="3" t="str">
        <f aca="false">Feuil1!K362</f>
        <v>43 (EU) / 27 (MP)</v>
      </c>
      <c r="L362" s="3" t="n">
        <f aca="false">Feuil1!L362</f>
        <v>55</v>
      </c>
      <c r="M362" s="1" t="s">
        <v>17</v>
      </c>
      <c r="N362" s="1" t="s">
        <v>18</v>
      </c>
      <c r="O362" s="1" t="s">
        <v>19</v>
      </c>
      <c r="P362" s="4" t="n">
        <v>45973.466099537</v>
      </c>
      <c r="Q362" s="4" t="n">
        <v>45973.466099537</v>
      </c>
    </row>
    <row r="363" customFormat="false" ht="15" hidden="false" customHeight="false" outlineLevel="0" collapsed="false">
      <c r="A363" s="1" t="str">
        <f aca="false">Feuil1!H363</f>
        <v>54108</v>
      </c>
      <c r="B363" s="1" t="s">
        <v>17</v>
      </c>
      <c r="C363" s="1" t="s">
        <v>17</v>
      </c>
      <c r="D363" s="1" t="s">
        <v>17</v>
      </c>
      <c r="E363" s="1" t="s">
        <v>17</v>
      </c>
      <c r="F363" s="1" t="s">
        <v>17</v>
      </c>
      <c r="G363" s="1" t="s">
        <v>17</v>
      </c>
      <c r="H363" s="1" t="s">
        <v>17</v>
      </c>
      <c r="I363" s="3" t="str">
        <f aca="false">Feuil1!I363</f>
        <v>Chaussures Alpin </v>
      </c>
      <c r="J363" s="3" t="str">
        <f aca="false">Feuil1!J363</f>
        <v>atomic hawks</v>
      </c>
      <c r="K363" s="3" t="str">
        <f aca="false">Feuil1!K363</f>
        <v>42 (EU) / 26 (MP)</v>
      </c>
      <c r="L363" s="3" t="n">
        <f aca="false">Feuil1!L363</f>
        <v>45</v>
      </c>
      <c r="M363" s="1" t="s">
        <v>17</v>
      </c>
      <c r="N363" s="1" t="s">
        <v>18</v>
      </c>
      <c r="O363" s="1" t="s">
        <v>19</v>
      </c>
      <c r="P363" s="4" t="n">
        <v>45973.466099537</v>
      </c>
      <c r="Q363" s="4" t="n">
        <v>45973.466099537</v>
      </c>
    </row>
    <row r="364" customFormat="false" ht="15" hidden="false" customHeight="false" outlineLevel="0" collapsed="false">
      <c r="A364" s="1" t="str">
        <f aca="false">Feuil1!H364</f>
        <v>54109</v>
      </c>
      <c r="B364" s="1" t="s">
        <v>17</v>
      </c>
      <c r="C364" s="1" t="s">
        <v>17</v>
      </c>
      <c r="D364" s="1" t="s">
        <v>17</v>
      </c>
      <c r="E364" s="1" t="s">
        <v>17</v>
      </c>
      <c r="F364" s="1" t="s">
        <v>17</v>
      </c>
      <c r="G364" s="1" t="s">
        <v>17</v>
      </c>
      <c r="H364" s="1" t="s">
        <v>17</v>
      </c>
      <c r="I364" s="3" t="str">
        <f aca="false">Feuil1!I364</f>
        <v>Chaussures Alpin </v>
      </c>
      <c r="J364" s="3" t="str">
        <f aca="false">Feuil1!J364</f>
        <v>salomon select</v>
      </c>
      <c r="K364" s="3" t="str">
        <f aca="false">Feuil1!K364</f>
        <v>43 (EU) / 27 (MP)</v>
      </c>
      <c r="L364" s="3" t="n">
        <f aca="false">Feuil1!L364</f>
        <v>49</v>
      </c>
      <c r="M364" s="1" t="s">
        <v>17</v>
      </c>
      <c r="N364" s="1" t="s">
        <v>18</v>
      </c>
      <c r="O364" s="1" t="s">
        <v>19</v>
      </c>
      <c r="P364" s="4" t="n">
        <v>45973.466099537</v>
      </c>
      <c r="Q364" s="4" t="n">
        <v>45973.466099537</v>
      </c>
    </row>
    <row r="365" customFormat="false" ht="15" hidden="false" customHeight="false" outlineLevel="0" collapsed="false">
      <c r="A365" s="1" t="str">
        <f aca="false">Feuil1!H365</f>
        <v>54110</v>
      </c>
      <c r="B365" s="1" t="s">
        <v>17</v>
      </c>
      <c r="C365" s="1" t="s">
        <v>17</v>
      </c>
      <c r="D365" s="1" t="s">
        <v>17</v>
      </c>
      <c r="E365" s="1" t="s">
        <v>17</v>
      </c>
      <c r="F365" s="1" t="s">
        <v>17</v>
      </c>
      <c r="G365" s="1" t="s">
        <v>17</v>
      </c>
      <c r="H365" s="1" t="s">
        <v>17</v>
      </c>
      <c r="I365" s="3" t="str">
        <f aca="false">Feuil1!I365</f>
        <v>Chaussures Alpin </v>
      </c>
      <c r="J365" s="3" t="str">
        <f aca="false">Feuil1!J365</f>
        <v>lange lx</v>
      </c>
      <c r="K365" s="3" t="str">
        <f aca="false">Feuil1!K365</f>
        <v>43 (EU) / 27 (MP)</v>
      </c>
      <c r="L365" s="3" t="n">
        <f aca="false">Feuil1!L365</f>
        <v>59</v>
      </c>
      <c r="M365" s="1" t="s">
        <v>17</v>
      </c>
      <c r="N365" s="1" t="s">
        <v>18</v>
      </c>
      <c r="O365" s="1" t="s">
        <v>19</v>
      </c>
      <c r="P365" s="4" t="n">
        <v>45973.466099537</v>
      </c>
      <c r="Q365" s="4" t="n">
        <v>45973.466099537</v>
      </c>
    </row>
    <row r="366" customFormat="false" ht="15" hidden="false" customHeight="false" outlineLevel="0" collapsed="false">
      <c r="A366" s="1" t="str">
        <f aca="false">Feuil1!H366</f>
        <v>54111</v>
      </c>
      <c r="B366" s="1" t="s">
        <v>17</v>
      </c>
      <c r="C366" s="1" t="s">
        <v>17</v>
      </c>
      <c r="D366" s="1" t="s">
        <v>17</v>
      </c>
      <c r="E366" s="1" t="s">
        <v>17</v>
      </c>
      <c r="F366" s="1" t="s">
        <v>17</v>
      </c>
      <c r="G366" s="1" t="s">
        <v>17</v>
      </c>
      <c r="H366" s="1" t="s">
        <v>17</v>
      </c>
      <c r="I366" s="3" t="str">
        <f aca="false">Feuil1!I366</f>
        <v>Chaussures Alpin </v>
      </c>
      <c r="J366" s="3" t="str">
        <f aca="false">Feuil1!J366</f>
        <v>atomic hawks</v>
      </c>
      <c r="K366" s="3" t="str">
        <f aca="false">Feuil1!K366</f>
        <v>43 (EU) / 27 (MP)</v>
      </c>
      <c r="L366" s="3" t="n">
        <f aca="false">Feuil1!L366</f>
        <v>55</v>
      </c>
      <c r="M366" s="1" t="s">
        <v>17</v>
      </c>
      <c r="N366" s="1" t="s">
        <v>18</v>
      </c>
      <c r="O366" s="1" t="s">
        <v>19</v>
      </c>
      <c r="P366" s="4" t="n">
        <v>45973.466099537</v>
      </c>
      <c r="Q366" s="4" t="n">
        <v>45973.466099537</v>
      </c>
    </row>
    <row r="367" customFormat="false" ht="15" hidden="false" customHeight="false" outlineLevel="0" collapsed="false">
      <c r="A367" s="1" t="str">
        <f aca="false">Feuil1!H367</f>
        <v>54112</v>
      </c>
      <c r="B367" s="1" t="s">
        <v>17</v>
      </c>
      <c r="C367" s="1" t="s">
        <v>17</v>
      </c>
      <c r="D367" s="1" t="s">
        <v>17</v>
      </c>
      <c r="E367" s="1" t="s">
        <v>17</v>
      </c>
      <c r="F367" s="1" t="s">
        <v>17</v>
      </c>
      <c r="G367" s="1" t="s">
        <v>17</v>
      </c>
      <c r="H367" s="1" t="s">
        <v>17</v>
      </c>
      <c r="I367" s="3" t="str">
        <f aca="false">Feuil1!I367</f>
        <v>Chaussures Alpin </v>
      </c>
      <c r="J367" s="3" t="str">
        <f aca="false">Feuil1!J367</f>
        <v>head lyt</v>
      </c>
      <c r="K367" s="3" t="str">
        <f aca="false">Feuil1!K367</f>
        <v>43 (EU) / 27 (MP)</v>
      </c>
      <c r="L367" s="3" t="n">
        <f aca="false">Feuil1!L367</f>
        <v>55</v>
      </c>
      <c r="M367" s="1" t="s">
        <v>17</v>
      </c>
      <c r="N367" s="1" t="s">
        <v>18</v>
      </c>
      <c r="O367" s="1" t="s">
        <v>19</v>
      </c>
      <c r="P367" s="4" t="n">
        <v>45973.466099537</v>
      </c>
      <c r="Q367" s="4" t="n">
        <v>45973.466099537</v>
      </c>
    </row>
    <row r="368" customFormat="false" ht="15" hidden="false" customHeight="false" outlineLevel="0" collapsed="false">
      <c r="A368" s="1" t="str">
        <f aca="false">Feuil1!H368</f>
        <v>54113</v>
      </c>
      <c r="B368" s="1" t="s">
        <v>17</v>
      </c>
      <c r="C368" s="1" t="s">
        <v>17</v>
      </c>
      <c r="D368" s="1" t="s">
        <v>17</v>
      </c>
      <c r="E368" s="1" t="s">
        <v>17</v>
      </c>
      <c r="F368" s="1" t="s">
        <v>17</v>
      </c>
      <c r="G368" s="1" t="s">
        <v>17</v>
      </c>
      <c r="H368" s="1" t="s">
        <v>17</v>
      </c>
      <c r="I368" s="3" t="str">
        <f aca="false">Feuil1!I368</f>
        <v>Chaussures Alpin </v>
      </c>
      <c r="J368" s="3" t="str">
        <f aca="false">Feuil1!J368</f>
        <v>atomic hawks</v>
      </c>
      <c r="K368" s="3" t="str">
        <f aca="false">Feuil1!K368</f>
        <v>42 (EU) / 26 (MP)</v>
      </c>
      <c r="L368" s="3" t="n">
        <f aca="false">Feuil1!L368</f>
        <v>55</v>
      </c>
      <c r="M368" s="1" t="s">
        <v>17</v>
      </c>
      <c r="N368" s="1" t="s">
        <v>18</v>
      </c>
      <c r="O368" s="1" t="s">
        <v>19</v>
      </c>
      <c r="P368" s="4" t="n">
        <v>45973.466099537</v>
      </c>
      <c r="Q368" s="4" t="n">
        <v>45973.466099537</v>
      </c>
    </row>
    <row r="369" customFormat="false" ht="15" hidden="false" customHeight="false" outlineLevel="0" collapsed="false">
      <c r="A369" s="1" t="str">
        <f aca="false">Feuil1!H369</f>
        <v>54114</v>
      </c>
      <c r="B369" s="1" t="s">
        <v>17</v>
      </c>
      <c r="C369" s="1" t="s">
        <v>17</v>
      </c>
      <c r="D369" s="1" t="s">
        <v>17</v>
      </c>
      <c r="E369" s="1" t="s">
        <v>17</v>
      </c>
      <c r="F369" s="1" t="s">
        <v>17</v>
      </c>
      <c r="G369" s="1" t="s">
        <v>17</v>
      </c>
      <c r="H369" s="1" t="s">
        <v>17</v>
      </c>
      <c r="I369" s="3" t="str">
        <f aca="false">Feuil1!I369</f>
        <v>Chaussures Alpin </v>
      </c>
      <c r="J369" s="3" t="str">
        <f aca="false">Feuil1!J369</f>
        <v>nordica sport</v>
      </c>
      <c r="K369" s="3" t="str">
        <f aca="false">Feuil1!K369</f>
        <v>43 (EU) / 27 (MP)</v>
      </c>
      <c r="L369" s="3" t="n">
        <f aca="false">Feuil1!L369</f>
        <v>55</v>
      </c>
      <c r="M369" s="1" t="s">
        <v>17</v>
      </c>
      <c r="N369" s="1" t="s">
        <v>18</v>
      </c>
      <c r="O369" s="1" t="s">
        <v>19</v>
      </c>
      <c r="P369" s="4" t="n">
        <v>45973.466099537</v>
      </c>
      <c r="Q369" s="4" t="n">
        <v>45973.466099537</v>
      </c>
    </row>
    <row r="370" customFormat="false" ht="15" hidden="false" customHeight="false" outlineLevel="0" collapsed="false">
      <c r="A370" s="1" t="str">
        <f aca="false">Feuil1!H370</f>
        <v>54115</v>
      </c>
      <c r="B370" s="1" t="s">
        <v>17</v>
      </c>
      <c r="C370" s="1" t="s">
        <v>17</v>
      </c>
      <c r="D370" s="1" t="s">
        <v>17</v>
      </c>
      <c r="E370" s="1" t="s">
        <v>17</v>
      </c>
      <c r="F370" s="1" t="s">
        <v>17</v>
      </c>
      <c r="G370" s="1" t="s">
        <v>17</v>
      </c>
      <c r="H370" s="1" t="s">
        <v>17</v>
      </c>
      <c r="I370" s="3" t="str">
        <f aca="false">Feuil1!I370</f>
        <v>Chaussures Alpin </v>
      </c>
      <c r="J370" s="3" t="str">
        <f aca="false">Feuil1!J370</f>
        <v>lange rx</v>
      </c>
      <c r="K370" s="3" t="str">
        <f aca="false">Feuil1!K370</f>
        <v>39 (EU) / 25 (MP)</v>
      </c>
      <c r="L370" s="3" t="n">
        <f aca="false">Feuil1!L370</f>
        <v>59</v>
      </c>
      <c r="M370" s="1" t="s">
        <v>17</v>
      </c>
      <c r="N370" s="1" t="s">
        <v>18</v>
      </c>
      <c r="O370" s="1" t="s">
        <v>19</v>
      </c>
      <c r="P370" s="4" t="n">
        <v>45973.466099537</v>
      </c>
      <c r="Q370" s="4" t="n">
        <v>45973.466099537</v>
      </c>
    </row>
    <row r="371" customFormat="false" ht="15" hidden="false" customHeight="false" outlineLevel="0" collapsed="false">
      <c r="A371" s="1" t="str">
        <f aca="false">Feuil1!H371</f>
        <v>54116</v>
      </c>
      <c r="B371" s="1" t="s">
        <v>17</v>
      </c>
      <c r="C371" s="1" t="s">
        <v>17</v>
      </c>
      <c r="D371" s="1" t="s">
        <v>17</v>
      </c>
      <c r="E371" s="1" t="s">
        <v>17</v>
      </c>
      <c r="F371" s="1" t="s">
        <v>17</v>
      </c>
      <c r="G371" s="1" t="s">
        <v>17</v>
      </c>
      <c r="H371" s="1" t="s">
        <v>17</v>
      </c>
      <c r="I371" s="3" t="str">
        <f aca="false">Feuil1!I371</f>
        <v>Chaussures Alpin </v>
      </c>
      <c r="J371" s="3" t="str">
        <f aca="false">Feuil1!J371</f>
        <v>salomon access</v>
      </c>
      <c r="K371" s="3" t="str">
        <f aca="false">Feuil1!K371</f>
        <v>39 (EU) / 25 (MP)</v>
      </c>
      <c r="L371" s="3" t="n">
        <f aca="false">Feuil1!L371</f>
        <v>59</v>
      </c>
      <c r="M371" s="1" t="s">
        <v>17</v>
      </c>
      <c r="N371" s="1" t="s">
        <v>18</v>
      </c>
      <c r="O371" s="1" t="s">
        <v>19</v>
      </c>
      <c r="P371" s="4" t="n">
        <v>45973.466099537</v>
      </c>
      <c r="Q371" s="4" t="n">
        <v>45973.466099537</v>
      </c>
    </row>
    <row r="372" customFormat="false" ht="15" hidden="false" customHeight="false" outlineLevel="0" collapsed="false">
      <c r="A372" s="1" t="str">
        <f aca="false">Feuil1!H372</f>
        <v>54117</v>
      </c>
      <c r="B372" s="1" t="s">
        <v>17</v>
      </c>
      <c r="C372" s="1" t="s">
        <v>17</v>
      </c>
      <c r="D372" s="1" t="s">
        <v>17</v>
      </c>
      <c r="E372" s="1" t="s">
        <v>17</v>
      </c>
      <c r="F372" s="1" t="s">
        <v>17</v>
      </c>
      <c r="G372" s="1" t="s">
        <v>17</v>
      </c>
      <c r="H372" s="1" t="s">
        <v>17</v>
      </c>
      <c r="I372" s="3" t="str">
        <f aca="false">Feuil1!I372</f>
        <v>Chaussures Alpin </v>
      </c>
      <c r="J372" s="3" t="str">
        <f aca="false">Feuil1!J372</f>
        <v>rossignol pure</v>
      </c>
      <c r="K372" s="3" t="str">
        <f aca="false">Feuil1!K372</f>
        <v>39 (EU) / 25 (MP)</v>
      </c>
      <c r="L372" s="3" t="n">
        <f aca="false">Feuil1!L372</f>
        <v>49</v>
      </c>
      <c r="M372" s="1" t="s">
        <v>17</v>
      </c>
      <c r="N372" s="1" t="s">
        <v>18</v>
      </c>
      <c r="O372" s="1" t="s">
        <v>19</v>
      </c>
      <c r="P372" s="4" t="n">
        <v>45973.466099537</v>
      </c>
      <c r="Q372" s="4" t="n">
        <v>45973.466099537</v>
      </c>
    </row>
    <row r="373" customFormat="false" ht="15" hidden="false" customHeight="false" outlineLevel="0" collapsed="false">
      <c r="A373" s="1" t="str">
        <f aca="false">Feuil1!H373</f>
        <v>54118</v>
      </c>
      <c r="B373" s="1" t="s">
        <v>17</v>
      </c>
      <c r="C373" s="1" t="s">
        <v>17</v>
      </c>
      <c r="D373" s="1" t="s">
        <v>17</v>
      </c>
      <c r="E373" s="1" t="s">
        <v>17</v>
      </c>
      <c r="F373" s="1" t="s">
        <v>17</v>
      </c>
      <c r="G373" s="1" t="s">
        <v>17</v>
      </c>
      <c r="H373" s="1" t="s">
        <v>17</v>
      </c>
      <c r="I373" s="3" t="str">
        <f aca="false">Feuil1!I373</f>
        <v>Chaussures Alpin </v>
      </c>
      <c r="J373" s="3" t="str">
        <f aca="false">Feuil1!J373</f>
        <v>lange lx</v>
      </c>
      <c r="K373" s="3" t="str">
        <f aca="false">Feuil1!K373</f>
        <v>39 (EU) / 25 (MP)</v>
      </c>
      <c r="L373" s="3" t="n">
        <f aca="false">Feuil1!L373</f>
        <v>49</v>
      </c>
      <c r="M373" s="1" t="s">
        <v>17</v>
      </c>
      <c r="N373" s="1" t="s">
        <v>18</v>
      </c>
      <c r="O373" s="1" t="s">
        <v>19</v>
      </c>
      <c r="P373" s="4" t="n">
        <v>45973.466099537</v>
      </c>
      <c r="Q373" s="4" t="n">
        <v>45973.466099537</v>
      </c>
    </row>
    <row r="374" customFormat="false" ht="15" hidden="false" customHeight="false" outlineLevel="0" collapsed="false">
      <c r="A374" s="1" t="str">
        <f aca="false">Feuil1!H374</f>
        <v>54119</v>
      </c>
      <c r="B374" s="1" t="s">
        <v>17</v>
      </c>
      <c r="C374" s="1" t="s">
        <v>17</v>
      </c>
      <c r="D374" s="1" t="s">
        <v>17</v>
      </c>
      <c r="E374" s="1" t="s">
        <v>17</v>
      </c>
      <c r="F374" s="1" t="s">
        <v>17</v>
      </c>
      <c r="G374" s="1" t="s">
        <v>17</v>
      </c>
      <c r="H374" s="1" t="s">
        <v>17</v>
      </c>
      <c r="I374" s="3" t="str">
        <f aca="false">Feuil1!I374</f>
        <v>Chaussures Alpin </v>
      </c>
      <c r="J374" s="3" t="str">
        <f aca="false">Feuil1!J374</f>
        <v>lange sx</v>
      </c>
      <c r="K374" s="3" t="str">
        <f aca="false">Feuil1!K374</f>
        <v>39 (EU) / 25 (MP)</v>
      </c>
      <c r="L374" s="3" t="n">
        <f aca="false">Feuil1!L374</f>
        <v>49</v>
      </c>
      <c r="M374" s="1" t="s">
        <v>17</v>
      </c>
      <c r="N374" s="1" t="s">
        <v>18</v>
      </c>
      <c r="O374" s="1" t="s">
        <v>19</v>
      </c>
      <c r="P374" s="4" t="n">
        <v>45973.466099537</v>
      </c>
      <c r="Q374" s="4" t="n">
        <v>45973.466099537</v>
      </c>
    </row>
    <row r="375" customFormat="false" ht="15" hidden="false" customHeight="false" outlineLevel="0" collapsed="false">
      <c r="A375" s="1" t="str">
        <f aca="false">Feuil1!H375</f>
        <v>54120</v>
      </c>
      <c r="B375" s="1" t="s">
        <v>17</v>
      </c>
      <c r="C375" s="1" t="s">
        <v>17</v>
      </c>
      <c r="D375" s="1" t="s">
        <v>17</v>
      </c>
      <c r="E375" s="1" t="s">
        <v>17</v>
      </c>
      <c r="F375" s="1" t="s">
        <v>17</v>
      </c>
      <c r="G375" s="1" t="s">
        <v>17</v>
      </c>
      <c r="H375" s="1" t="s">
        <v>17</v>
      </c>
      <c r="I375" s="3" t="str">
        <f aca="false">Feuil1!I375</f>
        <v>Chaussures Alpin </v>
      </c>
      <c r="J375" s="3" t="str">
        <f aca="false">Feuil1!J375</f>
        <v>rossignol pure</v>
      </c>
      <c r="K375" s="3" t="str">
        <f aca="false">Feuil1!K375</f>
        <v>39 (EU) / 25 (MP)</v>
      </c>
      <c r="L375" s="3" t="n">
        <f aca="false">Feuil1!L375</f>
        <v>49</v>
      </c>
      <c r="M375" s="1" t="s">
        <v>17</v>
      </c>
      <c r="N375" s="1" t="s">
        <v>18</v>
      </c>
      <c r="O375" s="1" t="s">
        <v>19</v>
      </c>
      <c r="P375" s="4" t="n">
        <v>45973.466099537</v>
      </c>
      <c r="Q375" s="4" t="n">
        <v>45973.466099537</v>
      </c>
    </row>
    <row r="376" customFormat="false" ht="15" hidden="false" customHeight="false" outlineLevel="0" collapsed="false">
      <c r="A376" s="1" t="str">
        <f aca="false">Feuil1!H376</f>
        <v>54121</v>
      </c>
      <c r="B376" s="1" t="s">
        <v>17</v>
      </c>
      <c r="C376" s="1" t="s">
        <v>17</v>
      </c>
      <c r="D376" s="1" t="s">
        <v>17</v>
      </c>
      <c r="E376" s="1" t="s">
        <v>17</v>
      </c>
      <c r="F376" s="1" t="s">
        <v>17</v>
      </c>
      <c r="G376" s="1" t="s">
        <v>17</v>
      </c>
      <c r="H376" s="1" t="s">
        <v>17</v>
      </c>
      <c r="I376" s="3" t="str">
        <f aca="false">Feuil1!I376</f>
        <v>Chaussures Alpin </v>
      </c>
      <c r="J376" s="3" t="str">
        <f aca="false">Feuil1!J376</f>
        <v>tecnica mach</v>
      </c>
      <c r="K376" s="3" t="str">
        <f aca="false">Feuil1!K376</f>
        <v>39 (EU) / 25 (MP)</v>
      </c>
      <c r="L376" s="3" t="n">
        <f aca="false">Feuil1!L376</f>
        <v>55</v>
      </c>
      <c r="M376" s="1" t="s">
        <v>17</v>
      </c>
      <c r="N376" s="1" t="s">
        <v>18</v>
      </c>
      <c r="O376" s="1" t="s">
        <v>19</v>
      </c>
      <c r="P376" s="4" t="n">
        <v>45973.466099537</v>
      </c>
      <c r="Q376" s="4" t="n">
        <v>45973.466099537</v>
      </c>
    </row>
    <row r="377" customFormat="false" ht="15" hidden="false" customHeight="false" outlineLevel="0" collapsed="false">
      <c r="A377" s="1" t="str">
        <f aca="false">Feuil1!H377</f>
        <v>54122</v>
      </c>
      <c r="B377" s="1" t="s">
        <v>17</v>
      </c>
      <c r="C377" s="1" t="s">
        <v>17</v>
      </c>
      <c r="D377" s="1" t="s">
        <v>17</v>
      </c>
      <c r="E377" s="1" t="s">
        <v>17</v>
      </c>
      <c r="F377" s="1" t="s">
        <v>17</v>
      </c>
      <c r="G377" s="1" t="s">
        <v>17</v>
      </c>
      <c r="H377" s="1" t="s">
        <v>17</v>
      </c>
      <c r="I377" s="3" t="str">
        <f aca="false">Feuil1!I377</f>
        <v>Chaussures Alpin </v>
      </c>
      <c r="J377" s="3" t="str">
        <f aca="false">Feuil1!J377</f>
        <v>salomon access</v>
      </c>
      <c r="K377" s="3" t="str">
        <f aca="false">Feuil1!K377</f>
        <v>39 (EU) / 25 (MP)</v>
      </c>
      <c r="L377" s="3" t="n">
        <f aca="false">Feuil1!L377</f>
        <v>49</v>
      </c>
      <c r="M377" s="1" t="s">
        <v>17</v>
      </c>
      <c r="N377" s="1" t="s">
        <v>18</v>
      </c>
      <c r="O377" s="1" t="s">
        <v>19</v>
      </c>
      <c r="P377" s="4" t="n">
        <v>45973.466099537</v>
      </c>
      <c r="Q377" s="4" t="n">
        <v>45973.466099537</v>
      </c>
    </row>
    <row r="378" customFormat="false" ht="15" hidden="false" customHeight="false" outlineLevel="0" collapsed="false">
      <c r="A378" s="1" t="str">
        <f aca="false">Feuil1!H378</f>
        <v>54123</v>
      </c>
      <c r="B378" s="1" t="s">
        <v>17</v>
      </c>
      <c r="C378" s="1" t="s">
        <v>17</v>
      </c>
      <c r="D378" s="1" t="s">
        <v>17</v>
      </c>
      <c r="E378" s="1" t="s">
        <v>17</v>
      </c>
      <c r="F378" s="1" t="s">
        <v>17</v>
      </c>
      <c r="G378" s="1" t="s">
        <v>17</v>
      </c>
      <c r="H378" s="1" t="s">
        <v>17</v>
      </c>
      <c r="I378" s="3" t="str">
        <f aca="false">Feuil1!I378</f>
        <v>Chaussures Alpin </v>
      </c>
      <c r="J378" s="3" t="str">
        <f aca="false">Feuil1!J378</f>
        <v>atomic hawkx</v>
      </c>
      <c r="K378" s="3" t="str">
        <f aca="false">Feuil1!K378</f>
        <v>39 (EU) / 25 (MP)</v>
      </c>
      <c r="L378" s="3" t="n">
        <f aca="false">Feuil1!L378</f>
        <v>49</v>
      </c>
      <c r="M378" s="1" t="s">
        <v>17</v>
      </c>
      <c r="N378" s="1" t="s">
        <v>18</v>
      </c>
      <c r="O378" s="1" t="s">
        <v>19</v>
      </c>
      <c r="P378" s="4" t="n">
        <v>45973.466099537</v>
      </c>
      <c r="Q378" s="4" t="n">
        <v>45973.466099537</v>
      </c>
    </row>
    <row r="379" customFormat="false" ht="15" hidden="false" customHeight="false" outlineLevel="0" collapsed="false">
      <c r="A379" s="1" t="str">
        <f aca="false">Feuil1!H379</f>
        <v>54124</v>
      </c>
      <c r="B379" s="1" t="s">
        <v>17</v>
      </c>
      <c r="C379" s="1" t="s">
        <v>17</v>
      </c>
      <c r="D379" s="1" t="s">
        <v>17</v>
      </c>
      <c r="E379" s="1" t="s">
        <v>17</v>
      </c>
      <c r="F379" s="1" t="s">
        <v>17</v>
      </c>
      <c r="G379" s="1" t="s">
        <v>17</v>
      </c>
      <c r="H379" s="1" t="s">
        <v>17</v>
      </c>
      <c r="I379" s="3" t="str">
        <f aca="false">Feuil1!I379</f>
        <v>Chaussures Alpin </v>
      </c>
      <c r="J379" s="3" t="str">
        <f aca="false">Feuil1!J379</f>
        <v>nordica sport</v>
      </c>
      <c r="K379" s="3" t="str">
        <f aca="false">Feuil1!K379</f>
        <v>39 (EU) / 25 (MP)</v>
      </c>
      <c r="L379" s="3" t="n">
        <f aca="false">Feuil1!L379</f>
        <v>59</v>
      </c>
      <c r="M379" s="1" t="s">
        <v>17</v>
      </c>
      <c r="N379" s="1" t="s">
        <v>18</v>
      </c>
      <c r="O379" s="1" t="s">
        <v>19</v>
      </c>
      <c r="P379" s="4" t="n">
        <v>45973.466099537</v>
      </c>
      <c r="Q379" s="4" t="n">
        <v>45973.466099537</v>
      </c>
    </row>
    <row r="380" customFormat="false" ht="15" hidden="false" customHeight="false" outlineLevel="0" collapsed="false">
      <c r="A380" s="1" t="str">
        <f aca="false">Feuil1!H380</f>
        <v>54125</v>
      </c>
      <c r="B380" s="1" t="s">
        <v>17</v>
      </c>
      <c r="C380" s="1" t="s">
        <v>17</v>
      </c>
      <c r="D380" s="1" t="s">
        <v>17</v>
      </c>
      <c r="E380" s="1" t="s">
        <v>17</v>
      </c>
      <c r="F380" s="1" t="s">
        <v>17</v>
      </c>
      <c r="G380" s="1" t="s">
        <v>17</v>
      </c>
      <c r="H380" s="1" t="s">
        <v>17</v>
      </c>
      <c r="I380" s="3" t="str">
        <f aca="false">Feuil1!I380</f>
        <v>Chaussures Alpin </v>
      </c>
      <c r="J380" s="3" t="str">
        <f aca="false">Feuil1!J380</f>
        <v>tecnica mach</v>
      </c>
      <c r="K380" s="3" t="str">
        <f aca="false">Feuil1!K380</f>
        <v>39 (EU) / 25 (MP)</v>
      </c>
      <c r="L380" s="3" t="n">
        <f aca="false">Feuil1!L380</f>
        <v>59</v>
      </c>
      <c r="M380" s="1" t="s">
        <v>17</v>
      </c>
      <c r="N380" s="1" t="s">
        <v>18</v>
      </c>
      <c r="O380" s="1" t="s">
        <v>19</v>
      </c>
      <c r="P380" s="4" t="n">
        <v>45973.466099537</v>
      </c>
      <c r="Q380" s="4" t="n">
        <v>45973.466099537</v>
      </c>
    </row>
    <row r="381" customFormat="false" ht="15" hidden="false" customHeight="false" outlineLevel="0" collapsed="false">
      <c r="A381" s="1" t="str">
        <f aca="false">Feuil1!H381</f>
        <v>54126</v>
      </c>
      <c r="B381" s="1" t="s">
        <v>17</v>
      </c>
      <c r="C381" s="1" t="s">
        <v>17</v>
      </c>
      <c r="D381" s="1" t="s">
        <v>17</v>
      </c>
      <c r="E381" s="1" t="s">
        <v>17</v>
      </c>
      <c r="F381" s="1" t="s">
        <v>17</v>
      </c>
      <c r="G381" s="1" t="s">
        <v>17</v>
      </c>
      <c r="H381" s="1" t="s">
        <v>17</v>
      </c>
      <c r="I381" s="3" t="str">
        <f aca="false">Feuil1!I381</f>
        <v>Chaussures Alpin </v>
      </c>
      <c r="J381" s="3" t="str">
        <f aca="false">Feuil1!J381</f>
        <v>lange rx</v>
      </c>
      <c r="K381" s="3" t="str">
        <f aca="false">Feuil1!K381</f>
        <v>39 (EU) / 25 (MP)</v>
      </c>
      <c r="L381" s="3" t="n">
        <f aca="false">Feuil1!L381</f>
        <v>55</v>
      </c>
      <c r="M381" s="1" t="s">
        <v>17</v>
      </c>
      <c r="N381" s="1" t="s">
        <v>18</v>
      </c>
      <c r="O381" s="1" t="s">
        <v>19</v>
      </c>
      <c r="P381" s="4" t="n">
        <v>45973.466099537</v>
      </c>
      <c r="Q381" s="4" t="n">
        <v>45973.466099537</v>
      </c>
    </row>
    <row r="382" customFormat="false" ht="15" hidden="false" customHeight="false" outlineLevel="0" collapsed="false">
      <c r="A382" s="1" t="str">
        <f aca="false">Feuil1!H382</f>
        <v>54127</v>
      </c>
      <c r="B382" s="1" t="s">
        <v>17</v>
      </c>
      <c r="C382" s="1" t="s">
        <v>17</v>
      </c>
      <c r="D382" s="1" t="s">
        <v>17</v>
      </c>
      <c r="E382" s="1" t="s">
        <v>17</v>
      </c>
      <c r="F382" s="1" t="s">
        <v>17</v>
      </c>
      <c r="G382" s="1" t="s">
        <v>17</v>
      </c>
      <c r="H382" s="1" t="s">
        <v>17</v>
      </c>
      <c r="I382" s="3" t="str">
        <f aca="false">Feuil1!I382</f>
        <v>Chaussures Alpin </v>
      </c>
      <c r="J382" s="3" t="str">
        <f aca="false">Feuil1!J382</f>
        <v>tecnica mach</v>
      </c>
      <c r="K382" s="3" t="str">
        <f aca="false">Feuil1!K382</f>
        <v>39 (EU) / 25 (MP)</v>
      </c>
      <c r="L382" s="3" t="n">
        <f aca="false">Feuil1!L382</f>
        <v>55</v>
      </c>
      <c r="M382" s="1" t="s">
        <v>17</v>
      </c>
      <c r="N382" s="1" t="s">
        <v>18</v>
      </c>
      <c r="O382" s="1" t="s">
        <v>19</v>
      </c>
      <c r="P382" s="4" t="n">
        <v>45973.466099537</v>
      </c>
      <c r="Q382" s="4" t="n">
        <v>45973.466099537</v>
      </c>
    </row>
    <row r="383" customFormat="false" ht="15" hidden="false" customHeight="false" outlineLevel="0" collapsed="false">
      <c r="A383" s="1" t="str">
        <f aca="false">Feuil1!H383</f>
        <v>54128</v>
      </c>
      <c r="B383" s="1" t="s">
        <v>17</v>
      </c>
      <c r="C383" s="1" t="s">
        <v>17</v>
      </c>
      <c r="D383" s="1" t="s">
        <v>17</v>
      </c>
      <c r="E383" s="1" t="s">
        <v>17</v>
      </c>
      <c r="F383" s="1" t="s">
        <v>17</v>
      </c>
      <c r="G383" s="1" t="s">
        <v>17</v>
      </c>
      <c r="H383" s="1" t="s">
        <v>17</v>
      </c>
      <c r="I383" s="3" t="str">
        <f aca="false">Feuil1!I383</f>
        <v>Chaussures Alpin </v>
      </c>
      <c r="J383" s="3" t="str">
        <f aca="false">Feuil1!J383</f>
        <v>salomon spro</v>
      </c>
      <c r="K383" s="3" t="str">
        <f aca="false">Feuil1!K383</f>
        <v>39 (EU) / 25 (MP)</v>
      </c>
      <c r="L383" s="3" t="n">
        <f aca="false">Feuil1!L383</f>
        <v>55</v>
      </c>
      <c r="M383" s="1" t="s">
        <v>17</v>
      </c>
      <c r="N383" s="1" t="s">
        <v>18</v>
      </c>
      <c r="O383" s="1" t="s">
        <v>19</v>
      </c>
      <c r="P383" s="4" t="n">
        <v>45973.466099537</v>
      </c>
      <c r="Q383" s="4" t="n">
        <v>45973.466099537</v>
      </c>
    </row>
    <row r="384" customFormat="false" ht="15" hidden="false" customHeight="false" outlineLevel="0" collapsed="false">
      <c r="A384" s="1" t="str">
        <f aca="false">Feuil1!H384</f>
        <v>54129</v>
      </c>
      <c r="B384" s="1" t="s">
        <v>17</v>
      </c>
      <c r="C384" s="1" t="s">
        <v>17</v>
      </c>
      <c r="D384" s="1" t="s">
        <v>17</v>
      </c>
      <c r="E384" s="1" t="s">
        <v>17</v>
      </c>
      <c r="F384" s="1" t="s">
        <v>17</v>
      </c>
      <c r="G384" s="1" t="s">
        <v>17</v>
      </c>
      <c r="H384" s="1" t="s">
        <v>17</v>
      </c>
      <c r="I384" s="3" t="str">
        <f aca="false">Feuil1!I384</f>
        <v>Chaussures Alpin </v>
      </c>
      <c r="J384" s="3" t="str">
        <f aca="false">Feuil1!J384</f>
        <v>atomic hawkx</v>
      </c>
      <c r="K384" s="3" t="str">
        <f aca="false">Feuil1!K384</f>
        <v>39 (EU) / 25 (MP)</v>
      </c>
      <c r="L384" s="3" t="n">
        <f aca="false">Feuil1!L384</f>
        <v>59</v>
      </c>
      <c r="M384" s="1" t="s">
        <v>17</v>
      </c>
      <c r="N384" s="1" t="s">
        <v>18</v>
      </c>
      <c r="O384" s="1" t="s">
        <v>19</v>
      </c>
      <c r="P384" s="4" t="n">
        <v>45973.466099537</v>
      </c>
      <c r="Q384" s="4" t="n">
        <v>45973.466099537</v>
      </c>
    </row>
    <row r="385" customFormat="false" ht="15" hidden="false" customHeight="false" outlineLevel="0" collapsed="false">
      <c r="A385" s="1" t="str">
        <f aca="false">Feuil1!H385</f>
        <v>54130</v>
      </c>
      <c r="B385" s="1" t="s">
        <v>17</v>
      </c>
      <c r="C385" s="1" t="s">
        <v>17</v>
      </c>
      <c r="D385" s="1" t="s">
        <v>17</v>
      </c>
      <c r="E385" s="1" t="s">
        <v>17</v>
      </c>
      <c r="F385" s="1" t="s">
        <v>17</v>
      </c>
      <c r="G385" s="1" t="s">
        <v>17</v>
      </c>
      <c r="H385" s="1" t="s">
        <v>17</v>
      </c>
      <c r="I385" s="3" t="str">
        <f aca="false">Feuil1!I385</f>
        <v>Chaussures Alpin </v>
      </c>
      <c r="J385" s="3" t="str">
        <f aca="false">Feuil1!J385</f>
        <v>salomon spro</v>
      </c>
      <c r="K385" s="3" t="str">
        <f aca="false">Feuil1!K385</f>
        <v>39 (EU) / 25 (MP)</v>
      </c>
      <c r="L385" s="3" t="n">
        <f aca="false">Feuil1!L385</f>
        <v>55</v>
      </c>
      <c r="M385" s="1" t="s">
        <v>17</v>
      </c>
      <c r="N385" s="1" t="s">
        <v>18</v>
      </c>
      <c r="O385" s="1" t="s">
        <v>19</v>
      </c>
      <c r="P385" s="4" t="n">
        <v>45973.466099537</v>
      </c>
      <c r="Q385" s="4" t="n">
        <v>45973.466099537</v>
      </c>
    </row>
    <row r="386" customFormat="false" ht="15" hidden="false" customHeight="false" outlineLevel="0" collapsed="false">
      <c r="A386" s="1" t="str">
        <f aca="false">Feuil1!H386</f>
        <v>54131</v>
      </c>
      <c r="B386" s="1" t="s">
        <v>17</v>
      </c>
      <c r="C386" s="1" t="s">
        <v>17</v>
      </c>
      <c r="D386" s="1" t="s">
        <v>17</v>
      </c>
      <c r="E386" s="1" t="s">
        <v>17</v>
      </c>
      <c r="F386" s="1" t="s">
        <v>17</v>
      </c>
      <c r="G386" s="1" t="s">
        <v>17</v>
      </c>
      <c r="H386" s="1" t="s">
        <v>17</v>
      </c>
      <c r="I386" s="3" t="str">
        <f aca="false">Feuil1!I386</f>
        <v>Chaussures Alpin </v>
      </c>
      <c r="J386" s="3" t="str">
        <f aca="false">Feuil1!J386</f>
        <v>dalbello sport</v>
      </c>
      <c r="K386" s="3" t="str">
        <f aca="false">Feuil1!K386</f>
        <v>38 (EU) / 24 (MP)</v>
      </c>
      <c r="L386" s="3" t="n">
        <f aca="false">Feuil1!L386</f>
        <v>55</v>
      </c>
      <c r="M386" s="1" t="s">
        <v>17</v>
      </c>
      <c r="N386" s="1" t="s">
        <v>18</v>
      </c>
      <c r="O386" s="1" t="s">
        <v>19</v>
      </c>
      <c r="P386" s="4" t="n">
        <v>45973.466099537</v>
      </c>
      <c r="Q386" s="4" t="n">
        <v>45973.466099537</v>
      </c>
    </row>
    <row r="387" customFormat="false" ht="15" hidden="false" customHeight="false" outlineLevel="0" collapsed="false">
      <c r="A387" s="1" t="str">
        <f aca="false">Feuil1!H387</f>
        <v>54132</v>
      </c>
      <c r="B387" s="1" t="s">
        <v>17</v>
      </c>
      <c r="C387" s="1" t="s">
        <v>17</v>
      </c>
      <c r="D387" s="1" t="s">
        <v>17</v>
      </c>
      <c r="E387" s="1" t="s">
        <v>17</v>
      </c>
      <c r="F387" s="1" t="s">
        <v>17</v>
      </c>
      <c r="G387" s="1" t="s">
        <v>17</v>
      </c>
      <c r="H387" s="1" t="s">
        <v>17</v>
      </c>
      <c r="I387" s="3" t="str">
        <f aca="false">Feuil1!I387</f>
        <v>Chaussures Alpin </v>
      </c>
      <c r="J387" s="3" t="str">
        <f aca="false">Feuil1!J387</f>
        <v>roxa fit</v>
      </c>
      <c r="K387" s="3" t="str">
        <f aca="false">Feuil1!K387</f>
        <v>38 (EU) / 24 (MP)</v>
      </c>
      <c r="L387" s="3" t="n">
        <f aca="false">Feuil1!L387</f>
        <v>55</v>
      </c>
      <c r="M387" s="1" t="s">
        <v>17</v>
      </c>
      <c r="N387" s="1" t="s">
        <v>18</v>
      </c>
      <c r="O387" s="1" t="s">
        <v>19</v>
      </c>
      <c r="P387" s="4" t="n">
        <v>45973.466099537</v>
      </c>
      <c r="Q387" s="4" t="n">
        <v>45973.466099537</v>
      </c>
    </row>
    <row r="388" customFormat="false" ht="15" hidden="false" customHeight="false" outlineLevel="0" collapsed="false">
      <c r="A388" s="1" t="str">
        <f aca="false">Feuil1!H388</f>
        <v>54133</v>
      </c>
      <c r="B388" s="1" t="s">
        <v>17</v>
      </c>
      <c r="C388" s="1" t="s">
        <v>17</v>
      </c>
      <c r="D388" s="1" t="s">
        <v>17</v>
      </c>
      <c r="E388" s="1" t="s">
        <v>17</v>
      </c>
      <c r="F388" s="1" t="s">
        <v>17</v>
      </c>
      <c r="G388" s="1" t="s">
        <v>17</v>
      </c>
      <c r="H388" s="1" t="s">
        <v>17</v>
      </c>
      <c r="I388" s="3" t="str">
        <f aca="false">Feuil1!I388</f>
        <v>Chaussures Alpin </v>
      </c>
      <c r="J388" s="3" t="str">
        <f aca="false">Feuil1!J388</f>
        <v>tecnica mach</v>
      </c>
      <c r="K388" s="3" t="str">
        <f aca="false">Feuil1!K388</f>
        <v>37 (EU) / 23 (MP)</v>
      </c>
      <c r="L388" s="3" t="n">
        <f aca="false">Feuil1!L388</f>
        <v>55</v>
      </c>
      <c r="M388" s="1" t="s">
        <v>17</v>
      </c>
      <c r="N388" s="1" t="s">
        <v>18</v>
      </c>
      <c r="O388" s="1" t="s">
        <v>19</v>
      </c>
      <c r="P388" s="4" t="n">
        <v>45973.466099537</v>
      </c>
      <c r="Q388" s="4" t="n">
        <v>45973.466099537</v>
      </c>
    </row>
    <row r="389" customFormat="false" ht="15" hidden="false" customHeight="false" outlineLevel="0" collapsed="false">
      <c r="A389" s="1" t="str">
        <f aca="false">Feuil1!H389</f>
        <v>54134</v>
      </c>
      <c r="B389" s="1" t="s">
        <v>17</v>
      </c>
      <c r="C389" s="1" t="s">
        <v>17</v>
      </c>
      <c r="D389" s="1" t="s">
        <v>17</v>
      </c>
      <c r="E389" s="1" t="s">
        <v>17</v>
      </c>
      <c r="F389" s="1" t="s">
        <v>17</v>
      </c>
      <c r="G389" s="1" t="s">
        <v>17</v>
      </c>
      <c r="H389" s="1" t="s">
        <v>17</v>
      </c>
      <c r="I389" s="3" t="str">
        <f aca="false">Feuil1!I389</f>
        <v>Chaussures Alpin </v>
      </c>
      <c r="J389" s="3" t="str">
        <f aca="false">Feuil1!J389</f>
        <v>tecnica mach</v>
      </c>
      <c r="K389" s="3" t="str">
        <f aca="false">Feuil1!K389</f>
        <v>38 (EU) / 24 (MP)</v>
      </c>
      <c r="L389" s="3" t="n">
        <f aca="false">Feuil1!L389</f>
        <v>55</v>
      </c>
      <c r="M389" s="1" t="s">
        <v>17</v>
      </c>
      <c r="N389" s="1" t="s">
        <v>18</v>
      </c>
      <c r="O389" s="1" t="s">
        <v>19</v>
      </c>
      <c r="P389" s="4" t="n">
        <v>45973.466099537</v>
      </c>
      <c r="Q389" s="4" t="n">
        <v>45973.466099537</v>
      </c>
    </row>
    <row r="390" customFormat="false" ht="15" hidden="false" customHeight="false" outlineLevel="0" collapsed="false">
      <c r="A390" s="1" t="str">
        <f aca="false">Feuil1!H390</f>
        <v>54135</v>
      </c>
      <c r="B390" s="1" t="s">
        <v>17</v>
      </c>
      <c r="C390" s="1" t="s">
        <v>17</v>
      </c>
      <c r="D390" s="1" t="s">
        <v>17</v>
      </c>
      <c r="E390" s="1" t="s">
        <v>17</v>
      </c>
      <c r="F390" s="1" t="s">
        <v>17</v>
      </c>
      <c r="G390" s="1" t="s">
        <v>17</v>
      </c>
      <c r="H390" s="1" t="s">
        <v>17</v>
      </c>
      <c r="I390" s="3" t="str">
        <f aca="false">Feuil1!I390</f>
        <v>Chaussures Alpin </v>
      </c>
      <c r="J390" s="3" t="str">
        <f aca="false">Feuil1!J390</f>
        <v>tecnica mach</v>
      </c>
      <c r="K390" s="3" t="str">
        <f aca="false">Feuil1!K390</f>
        <v>37 (EU) / 23 (MP)</v>
      </c>
      <c r="L390" s="3" t="n">
        <f aca="false">Feuil1!L390</f>
        <v>55</v>
      </c>
      <c r="M390" s="1" t="s">
        <v>17</v>
      </c>
      <c r="N390" s="1" t="s">
        <v>18</v>
      </c>
      <c r="O390" s="1" t="s">
        <v>19</v>
      </c>
      <c r="P390" s="4" t="n">
        <v>45973.466099537</v>
      </c>
      <c r="Q390" s="4" t="n">
        <v>45973.466099537</v>
      </c>
    </row>
    <row r="391" customFormat="false" ht="15" hidden="false" customHeight="false" outlineLevel="0" collapsed="false">
      <c r="A391" s="1" t="str">
        <f aca="false">Feuil1!H391</f>
        <v>54136</v>
      </c>
      <c r="B391" s="1" t="s">
        <v>17</v>
      </c>
      <c r="C391" s="1" t="s">
        <v>17</v>
      </c>
      <c r="D391" s="1" t="s">
        <v>17</v>
      </c>
      <c r="E391" s="1" t="s">
        <v>17</v>
      </c>
      <c r="F391" s="1" t="s">
        <v>17</v>
      </c>
      <c r="G391" s="1" t="s">
        <v>17</v>
      </c>
      <c r="H391" s="1" t="s">
        <v>17</v>
      </c>
      <c r="I391" s="3" t="str">
        <f aca="false">Feuil1!I391</f>
        <v>Chaussures Alpin </v>
      </c>
      <c r="J391" s="3" t="str">
        <f aca="false">Feuil1!J391</f>
        <v>tecnica mach</v>
      </c>
      <c r="K391" s="3" t="str">
        <f aca="false">Feuil1!K391</f>
        <v>38 (EU) / 24 (MP)</v>
      </c>
      <c r="L391" s="3" t="n">
        <f aca="false">Feuil1!L391</f>
        <v>55</v>
      </c>
      <c r="M391" s="1" t="s">
        <v>17</v>
      </c>
      <c r="N391" s="1" t="s">
        <v>18</v>
      </c>
      <c r="O391" s="1" t="s">
        <v>19</v>
      </c>
      <c r="P391" s="4" t="n">
        <v>45973.466099537</v>
      </c>
      <c r="Q391" s="4" t="n">
        <v>45973.466099537</v>
      </c>
    </row>
    <row r="392" customFormat="false" ht="15" hidden="false" customHeight="false" outlineLevel="0" collapsed="false">
      <c r="A392" s="1" t="str">
        <f aca="false">Feuil1!H392</f>
        <v>54137</v>
      </c>
      <c r="B392" s="1" t="s">
        <v>17</v>
      </c>
      <c r="C392" s="1" t="s">
        <v>17</v>
      </c>
      <c r="D392" s="1" t="s">
        <v>17</v>
      </c>
      <c r="E392" s="1" t="s">
        <v>17</v>
      </c>
      <c r="F392" s="1" t="s">
        <v>17</v>
      </c>
      <c r="G392" s="1" t="s">
        <v>17</v>
      </c>
      <c r="H392" s="1" t="s">
        <v>17</v>
      </c>
      <c r="I392" s="3" t="str">
        <f aca="false">Feuil1!I392</f>
        <v>Chaussures Alpin </v>
      </c>
      <c r="J392" s="3" t="str">
        <f aca="false">Feuil1!J392</f>
        <v>salomon xpro</v>
      </c>
      <c r="K392" s="3" t="str">
        <f aca="false">Feuil1!K392</f>
        <v>38 (EU) / 24 (MP)</v>
      </c>
      <c r="L392" s="3" t="n">
        <f aca="false">Feuil1!L392</f>
        <v>55</v>
      </c>
      <c r="M392" s="1" t="s">
        <v>17</v>
      </c>
      <c r="N392" s="1" t="s">
        <v>18</v>
      </c>
      <c r="O392" s="1" t="s">
        <v>19</v>
      </c>
      <c r="P392" s="4" t="n">
        <v>45973.466099537</v>
      </c>
      <c r="Q392" s="4" t="n">
        <v>45973.466099537</v>
      </c>
    </row>
    <row r="393" customFormat="false" ht="15" hidden="false" customHeight="false" outlineLevel="0" collapsed="false">
      <c r="A393" s="1" t="str">
        <f aca="false">Feuil1!H393</f>
        <v>54138</v>
      </c>
      <c r="B393" s="1" t="s">
        <v>17</v>
      </c>
      <c r="C393" s="1" t="s">
        <v>17</v>
      </c>
      <c r="D393" s="1" t="s">
        <v>17</v>
      </c>
      <c r="E393" s="1" t="s">
        <v>17</v>
      </c>
      <c r="F393" s="1" t="s">
        <v>17</v>
      </c>
      <c r="G393" s="1" t="s">
        <v>17</v>
      </c>
      <c r="H393" s="1" t="s">
        <v>17</v>
      </c>
      <c r="I393" s="3" t="str">
        <f aca="false">Feuil1!I393</f>
        <v>Chaussures Alpin </v>
      </c>
      <c r="J393" s="3" t="str">
        <f aca="false">Feuil1!J393</f>
        <v>lange rx</v>
      </c>
      <c r="K393" s="3" t="str">
        <f aca="false">Feuil1!K393</f>
        <v>38 (EU) / 24 (MP)</v>
      </c>
      <c r="L393" s="3" t="n">
        <f aca="false">Feuil1!L393</f>
        <v>49</v>
      </c>
      <c r="M393" s="1" t="s">
        <v>17</v>
      </c>
      <c r="N393" s="1" t="s">
        <v>18</v>
      </c>
      <c r="O393" s="1" t="s">
        <v>19</v>
      </c>
      <c r="P393" s="4" t="n">
        <v>45973.466099537</v>
      </c>
      <c r="Q393" s="4" t="n">
        <v>45973.466099537</v>
      </c>
    </row>
    <row r="394" customFormat="false" ht="15" hidden="false" customHeight="false" outlineLevel="0" collapsed="false">
      <c r="A394" s="1" t="str">
        <f aca="false">Feuil1!H394</f>
        <v>54139</v>
      </c>
      <c r="B394" s="1" t="s">
        <v>17</v>
      </c>
      <c r="C394" s="1" t="s">
        <v>17</v>
      </c>
      <c r="D394" s="1" t="s">
        <v>17</v>
      </c>
      <c r="E394" s="1" t="s">
        <v>17</v>
      </c>
      <c r="F394" s="1" t="s">
        <v>17</v>
      </c>
      <c r="G394" s="1" t="s">
        <v>17</v>
      </c>
      <c r="H394" s="1" t="s">
        <v>17</v>
      </c>
      <c r="I394" s="3" t="str">
        <f aca="false">Feuil1!I394</f>
        <v>Chaussures Alpin </v>
      </c>
      <c r="J394" s="3" t="str">
        <f aca="false">Feuil1!J394</f>
        <v>atomic hawk</v>
      </c>
      <c r="K394" s="3" t="str">
        <f aca="false">Feuil1!K394</f>
        <v>38 (EU) / 24 (MP)</v>
      </c>
      <c r="L394" s="3" t="n">
        <f aca="false">Feuil1!L394</f>
        <v>49</v>
      </c>
      <c r="M394" s="1" t="s">
        <v>17</v>
      </c>
      <c r="N394" s="1" t="s">
        <v>18</v>
      </c>
      <c r="O394" s="1" t="s">
        <v>19</v>
      </c>
      <c r="P394" s="4" t="n">
        <v>45973.466099537</v>
      </c>
      <c r="Q394" s="4" t="n">
        <v>45973.466099537</v>
      </c>
    </row>
    <row r="395" customFormat="false" ht="15" hidden="false" customHeight="false" outlineLevel="0" collapsed="false">
      <c r="A395" s="1" t="str">
        <f aca="false">Feuil1!H395</f>
        <v>54140</v>
      </c>
      <c r="B395" s="1" t="s">
        <v>17</v>
      </c>
      <c r="C395" s="1" t="s">
        <v>17</v>
      </c>
      <c r="D395" s="1" t="s">
        <v>17</v>
      </c>
      <c r="E395" s="1" t="s">
        <v>17</v>
      </c>
      <c r="F395" s="1" t="s">
        <v>17</v>
      </c>
      <c r="G395" s="1" t="s">
        <v>17</v>
      </c>
      <c r="H395" s="1" t="s">
        <v>17</v>
      </c>
      <c r="I395" s="3" t="str">
        <f aca="false">Feuil1!I395</f>
        <v>Chaussures Alpin </v>
      </c>
      <c r="J395" s="3" t="str">
        <f aca="false">Feuil1!J395</f>
        <v>lange rx</v>
      </c>
      <c r="K395" s="3" t="str">
        <f aca="false">Feuil1!K395</f>
        <v>38 (EU) / 24 (MP)</v>
      </c>
      <c r="L395" s="3" t="n">
        <f aca="false">Feuil1!L395</f>
        <v>49</v>
      </c>
      <c r="M395" s="1" t="s">
        <v>17</v>
      </c>
      <c r="N395" s="1" t="s">
        <v>18</v>
      </c>
      <c r="O395" s="1" t="s">
        <v>19</v>
      </c>
      <c r="P395" s="4" t="n">
        <v>45973.466099537</v>
      </c>
      <c r="Q395" s="4" t="n">
        <v>45973.466099537</v>
      </c>
    </row>
    <row r="396" customFormat="false" ht="15" hidden="false" customHeight="false" outlineLevel="0" collapsed="false">
      <c r="A396" s="1" t="str">
        <f aca="false">Feuil1!H396</f>
        <v>54141</v>
      </c>
      <c r="B396" s="1" t="s">
        <v>17</v>
      </c>
      <c r="C396" s="1" t="s">
        <v>17</v>
      </c>
      <c r="D396" s="1" t="s">
        <v>17</v>
      </c>
      <c r="E396" s="1" t="s">
        <v>17</v>
      </c>
      <c r="F396" s="1" t="s">
        <v>17</v>
      </c>
      <c r="G396" s="1" t="s">
        <v>17</v>
      </c>
      <c r="H396" s="1" t="s">
        <v>17</v>
      </c>
      <c r="I396" s="3" t="str">
        <f aca="false">Feuil1!I396</f>
        <v>Chaussures Alpin </v>
      </c>
      <c r="J396" s="3" t="str">
        <f aca="false">Feuil1!J396</f>
        <v>salomon spro</v>
      </c>
      <c r="K396" s="3" t="str">
        <f aca="false">Feuil1!K396</f>
        <v>38 (EU) / 24 (MP)</v>
      </c>
      <c r="L396" s="3" t="n">
        <f aca="false">Feuil1!L396</f>
        <v>55</v>
      </c>
      <c r="M396" s="1" t="s">
        <v>17</v>
      </c>
      <c r="N396" s="1" t="s">
        <v>18</v>
      </c>
      <c r="O396" s="1" t="s">
        <v>19</v>
      </c>
      <c r="P396" s="4" t="n">
        <v>45973.466099537</v>
      </c>
      <c r="Q396" s="4" t="n">
        <v>45973.466099537</v>
      </c>
    </row>
    <row r="397" customFormat="false" ht="15" hidden="false" customHeight="false" outlineLevel="0" collapsed="false">
      <c r="A397" s="1" t="str">
        <f aca="false">Feuil1!H397</f>
        <v>54142</v>
      </c>
      <c r="B397" s="1" t="s">
        <v>17</v>
      </c>
      <c r="C397" s="1" t="s">
        <v>17</v>
      </c>
      <c r="D397" s="1" t="s">
        <v>17</v>
      </c>
      <c r="E397" s="1" t="s">
        <v>17</v>
      </c>
      <c r="F397" s="1" t="s">
        <v>17</v>
      </c>
      <c r="G397" s="1" t="s">
        <v>17</v>
      </c>
      <c r="H397" s="1" t="s">
        <v>17</v>
      </c>
      <c r="I397" s="3" t="str">
        <f aca="false">Feuil1!I397</f>
        <v>Chaussures Alpin </v>
      </c>
      <c r="J397" s="3" t="str">
        <f aca="false">Feuil1!J397</f>
        <v>lange rx</v>
      </c>
      <c r="K397" s="3" t="str">
        <f aca="false">Feuil1!K397</f>
        <v>38 (EU) / 24 (MP)</v>
      </c>
      <c r="L397" s="3" t="n">
        <f aca="false">Feuil1!L397</f>
        <v>55</v>
      </c>
      <c r="M397" s="1" t="s">
        <v>17</v>
      </c>
      <c r="N397" s="1" t="s">
        <v>18</v>
      </c>
      <c r="O397" s="1" t="s">
        <v>19</v>
      </c>
      <c r="P397" s="4" t="n">
        <v>45973.466099537</v>
      </c>
      <c r="Q397" s="4" t="n">
        <v>45973.466099537</v>
      </c>
    </row>
    <row r="398" customFormat="false" ht="15" hidden="false" customHeight="false" outlineLevel="0" collapsed="false">
      <c r="A398" s="1" t="str">
        <f aca="false">Feuil1!H398</f>
        <v>54143</v>
      </c>
      <c r="B398" s="1" t="s">
        <v>17</v>
      </c>
      <c r="C398" s="1" t="s">
        <v>17</v>
      </c>
      <c r="D398" s="1" t="s">
        <v>17</v>
      </c>
      <c r="E398" s="1" t="s">
        <v>17</v>
      </c>
      <c r="F398" s="1" t="s">
        <v>17</v>
      </c>
      <c r="G398" s="1" t="s">
        <v>17</v>
      </c>
      <c r="H398" s="1" t="s">
        <v>17</v>
      </c>
      <c r="I398" s="3" t="str">
        <f aca="false">Feuil1!I398</f>
        <v>Chaussures Alpin </v>
      </c>
      <c r="J398" s="3" t="str">
        <f aca="false">Feuil1!J398</f>
        <v>lange sx</v>
      </c>
      <c r="K398" s="3" t="str">
        <f aca="false">Feuil1!K398</f>
        <v>37 (EU) / 23 (MP)</v>
      </c>
      <c r="L398" s="3" t="n">
        <f aca="false">Feuil1!L398</f>
        <v>49</v>
      </c>
      <c r="M398" s="1" t="s">
        <v>17</v>
      </c>
      <c r="N398" s="1" t="s">
        <v>18</v>
      </c>
      <c r="O398" s="1" t="s">
        <v>19</v>
      </c>
      <c r="P398" s="4" t="n">
        <v>45973.466099537</v>
      </c>
      <c r="Q398" s="4" t="n">
        <v>45973.466099537</v>
      </c>
    </row>
    <row r="399" customFormat="false" ht="15" hidden="false" customHeight="false" outlineLevel="0" collapsed="false">
      <c r="A399" s="1" t="str">
        <f aca="false">Feuil1!H399</f>
        <v>54144</v>
      </c>
      <c r="B399" s="1" t="s">
        <v>17</v>
      </c>
      <c r="C399" s="1" t="s">
        <v>17</v>
      </c>
      <c r="D399" s="1" t="s">
        <v>17</v>
      </c>
      <c r="E399" s="1" t="s">
        <v>17</v>
      </c>
      <c r="F399" s="1" t="s">
        <v>17</v>
      </c>
      <c r="G399" s="1" t="s">
        <v>17</v>
      </c>
      <c r="H399" s="1" t="s">
        <v>17</v>
      </c>
      <c r="I399" s="3" t="str">
        <f aca="false">Feuil1!I399</f>
        <v>Chaussures Alpin </v>
      </c>
      <c r="J399" s="3" t="str">
        <f aca="false">Feuil1!J399</f>
        <v>head edge</v>
      </c>
      <c r="K399" s="3" t="str">
        <f aca="false">Feuil1!K399</f>
        <v>38 (EU) / 24 (MP)</v>
      </c>
      <c r="L399" s="3" t="n">
        <f aca="false">Feuil1!L399</f>
        <v>49</v>
      </c>
      <c r="M399" s="1" t="s">
        <v>17</v>
      </c>
      <c r="N399" s="1" t="s">
        <v>18</v>
      </c>
      <c r="O399" s="1" t="s">
        <v>19</v>
      </c>
      <c r="P399" s="4" t="n">
        <v>45973.466099537</v>
      </c>
      <c r="Q399" s="4" t="n">
        <v>45973.466099537</v>
      </c>
    </row>
    <row r="400" customFormat="false" ht="15" hidden="false" customHeight="false" outlineLevel="0" collapsed="false">
      <c r="A400" s="1" t="str">
        <f aca="false">Feuil1!H400</f>
        <v>54145</v>
      </c>
      <c r="B400" s="1" t="s">
        <v>17</v>
      </c>
      <c r="C400" s="1" t="s">
        <v>17</v>
      </c>
      <c r="D400" s="1" t="s">
        <v>17</v>
      </c>
      <c r="E400" s="1" t="s">
        <v>17</v>
      </c>
      <c r="F400" s="1" t="s">
        <v>17</v>
      </c>
      <c r="G400" s="1" t="s">
        <v>17</v>
      </c>
      <c r="H400" s="1" t="s">
        <v>17</v>
      </c>
      <c r="I400" s="3" t="str">
        <f aca="false">Feuil1!I400</f>
        <v>Chaussures Alpin </v>
      </c>
      <c r="J400" s="3" t="str">
        <f aca="false">Feuil1!J400</f>
        <v>salomon access</v>
      </c>
      <c r="K400" s="3" t="str">
        <f aca="false">Feuil1!K400</f>
        <v>38 (EU) / 24 (MP)</v>
      </c>
      <c r="L400" s="3" t="n">
        <f aca="false">Feuil1!L400</f>
        <v>55</v>
      </c>
      <c r="M400" s="1" t="s">
        <v>17</v>
      </c>
      <c r="N400" s="1" t="s">
        <v>18</v>
      </c>
      <c r="O400" s="1" t="s">
        <v>19</v>
      </c>
      <c r="P400" s="4" t="n">
        <v>45973.466099537</v>
      </c>
      <c r="Q400" s="4" t="n">
        <v>45973.466099537</v>
      </c>
    </row>
    <row r="401" customFormat="false" ht="15" hidden="false" customHeight="false" outlineLevel="0" collapsed="false">
      <c r="A401" s="1" t="str">
        <f aca="false">Feuil1!H401</f>
        <v>54146</v>
      </c>
      <c r="B401" s="1" t="s">
        <v>17</v>
      </c>
      <c r="C401" s="1" t="s">
        <v>17</v>
      </c>
      <c r="D401" s="1" t="s">
        <v>17</v>
      </c>
      <c r="E401" s="1" t="s">
        <v>17</v>
      </c>
      <c r="F401" s="1" t="s">
        <v>17</v>
      </c>
      <c r="G401" s="1" t="s">
        <v>17</v>
      </c>
      <c r="H401" s="1" t="s">
        <v>17</v>
      </c>
      <c r="I401" s="3" t="str">
        <f aca="false">Feuil1!I401</f>
        <v>Chaussures Alpin </v>
      </c>
      <c r="J401" s="3" t="str">
        <f aca="false">Feuil1!J401</f>
        <v>salomon select</v>
      </c>
      <c r="K401" s="3" t="str">
        <f aca="false">Feuil1!K401</f>
        <v>38 (EU) / 24 (MP)</v>
      </c>
      <c r="L401" s="3" t="n">
        <f aca="false">Feuil1!L401</f>
        <v>55</v>
      </c>
      <c r="M401" s="1" t="s">
        <v>17</v>
      </c>
      <c r="N401" s="1" t="s">
        <v>18</v>
      </c>
      <c r="O401" s="1" t="s">
        <v>19</v>
      </c>
      <c r="P401" s="4" t="n">
        <v>45973.466099537</v>
      </c>
      <c r="Q401" s="4" t="n">
        <v>45973.466099537</v>
      </c>
    </row>
    <row r="402" customFormat="false" ht="15" hidden="false" customHeight="false" outlineLevel="0" collapsed="false">
      <c r="A402" s="1" t="str">
        <f aca="false">Feuil1!H402</f>
        <v>54147</v>
      </c>
      <c r="B402" s="1" t="s">
        <v>17</v>
      </c>
      <c r="C402" s="1" t="s">
        <v>17</v>
      </c>
      <c r="D402" s="1" t="s">
        <v>17</v>
      </c>
      <c r="E402" s="1" t="s">
        <v>17</v>
      </c>
      <c r="F402" s="1" t="s">
        <v>17</v>
      </c>
      <c r="G402" s="1" t="s">
        <v>17</v>
      </c>
      <c r="H402" s="1" t="s">
        <v>17</v>
      </c>
      <c r="I402" s="3" t="str">
        <f aca="false">Feuil1!I402</f>
        <v>Chaussures Alpin </v>
      </c>
      <c r="J402" s="3" t="str">
        <f aca="false">Feuil1!J402</f>
        <v>salomon spro</v>
      </c>
      <c r="K402" s="3" t="str">
        <f aca="false">Feuil1!K402</f>
        <v>38 (EU) / 24 (MP)</v>
      </c>
      <c r="L402" s="3" t="n">
        <f aca="false">Feuil1!L402</f>
        <v>55</v>
      </c>
      <c r="M402" s="1" t="s">
        <v>17</v>
      </c>
      <c r="N402" s="1" t="s">
        <v>18</v>
      </c>
      <c r="O402" s="1" t="s">
        <v>19</v>
      </c>
      <c r="P402" s="4" t="n">
        <v>45973.466099537</v>
      </c>
      <c r="Q402" s="4" t="n">
        <v>45973.466099537</v>
      </c>
    </row>
    <row r="403" customFormat="false" ht="15" hidden="false" customHeight="false" outlineLevel="0" collapsed="false">
      <c r="A403" s="1" t="str">
        <f aca="false">Feuil1!H403</f>
        <v>54148</v>
      </c>
      <c r="B403" s="1" t="s">
        <v>17</v>
      </c>
      <c r="C403" s="1" t="s">
        <v>17</v>
      </c>
      <c r="D403" s="1" t="s">
        <v>17</v>
      </c>
      <c r="E403" s="1" t="s">
        <v>17</v>
      </c>
      <c r="F403" s="1" t="s">
        <v>17</v>
      </c>
      <c r="G403" s="1" t="s">
        <v>17</v>
      </c>
      <c r="H403" s="1" t="s">
        <v>17</v>
      </c>
      <c r="I403" s="3" t="str">
        <f aca="false">Feuil1!I403</f>
        <v>Chaussures Alpin </v>
      </c>
      <c r="J403" s="3" t="str">
        <f aca="false">Feuil1!J403</f>
        <v>atomic hawk</v>
      </c>
      <c r="K403" s="3" t="str">
        <f aca="false">Feuil1!K403</f>
        <v>37 (EU) / 23 (MP)</v>
      </c>
      <c r="L403" s="3" t="n">
        <f aca="false">Feuil1!L403</f>
        <v>49</v>
      </c>
      <c r="M403" s="1" t="s">
        <v>17</v>
      </c>
      <c r="N403" s="1" t="s">
        <v>18</v>
      </c>
      <c r="O403" s="1" t="s">
        <v>19</v>
      </c>
      <c r="P403" s="4" t="n">
        <v>45973.466099537</v>
      </c>
      <c r="Q403" s="4" t="n">
        <v>45973.466099537</v>
      </c>
    </row>
    <row r="404" customFormat="false" ht="15" hidden="false" customHeight="false" outlineLevel="0" collapsed="false">
      <c r="A404" s="1" t="str">
        <f aca="false">Feuil1!H404</f>
        <v>54149</v>
      </c>
      <c r="B404" s="1" t="s">
        <v>17</v>
      </c>
      <c r="C404" s="1" t="s">
        <v>17</v>
      </c>
      <c r="D404" s="1" t="s">
        <v>17</v>
      </c>
      <c r="E404" s="1" t="s">
        <v>17</v>
      </c>
      <c r="F404" s="1" t="s">
        <v>17</v>
      </c>
      <c r="G404" s="1" t="s">
        <v>17</v>
      </c>
      <c r="H404" s="1" t="s">
        <v>17</v>
      </c>
      <c r="I404" s="3" t="str">
        <f aca="false">Feuil1!I404</f>
        <v>Chaussures Alpin </v>
      </c>
      <c r="J404" s="3" t="str">
        <f aca="false">Feuil1!J404</f>
        <v>tecnica mach</v>
      </c>
      <c r="K404" s="3" t="str">
        <f aca="false">Feuil1!K404</f>
        <v>37 (EU) / 23 (MP)</v>
      </c>
      <c r="L404" s="3" t="n">
        <f aca="false">Feuil1!L404</f>
        <v>55</v>
      </c>
      <c r="M404" s="1" t="s">
        <v>17</v>
      </c>
      <c r="N404" s="1" t="s">
        <v>18</v>
      </c>
      <c r="O404" s="1" t="s">
        <v>19</v>
      </c>
      <c r="P404" s="4" t="n">
        <v>45973.466099537</v>
      </c>
      <c r="Q404" s="4" t="n">
        <v>45973.466099537</v>
      </c>
    </row>
    <row r="405" customFormat="false" ht="15" hidden="false" customHeight="false" outlineLevel="0" collapsed="false">
      <c r="A405" s="1" t="str">
        <f aca="false">Feuil1!H405</f>
        <v>54150</v>
      </c>
      <c r="B405" s="1" t="s">
        <v>17</v>
      </c>
      <c r="C405" s="1" t="s">
        <v>17</v>
      </c>
      <c r="D405" s="1" t="s">
        <v>17</v>
      </c>
      <c r="E405" s="1" t="s">
        <v>17</v>
      </c>
      <c r="F405" s="1" t="s">
        <v>17</v>
      </c>
      <c r="G405" s="1" t="s">
        <v>17</v>
      </c>
      <c r="H405" s="1" t="s">
        <v>17</v>
      </c>
      <c r="I405" s="3" t="str">
        <f aca="false">Feuil1!I405</f>
        <v>Chaussures Alpin </v>
      </c>
      <c r="J405" s="3" t="str">
        <f aca="false">Feuil1!J405</f>
        <v>tecnica mach</v>
      </c>
      <c r="K405" s="3" t="str">
        <f aca="false">Feuil1!K405</f>
        <v>36 (EU) / 23 (MP)</v>
      </c>
      <c r="L405" s="3" t="n">
        <f aca="false">Feuil1!L405</f>
        <v>55</v>
      </c>
      <c r="M405" s="1" t="s">
        <v>17</v>
      </c>
      <c r="N405" s="1" t="s">
        <v>18</v>
      </c>
      <c r="O405" s="1" t="s">
        <v>19</v>
      </c>
      <c r="P405" s="4" t="n">
        <v>45973.466099537</v>
      </c>
      <c r="Q405" s="4" t="n">
        <v>45973.466099537</v>
      </c>
    </row>
    <row r="406" customFormat="false" ht="15" hidden="false" customHeight="false" outlineLevel="0" collapsed="false">
      <c r="A406" s="1" t="str">
        <f aca="false">Feuil1!H406</f>
        <v>54151</v>
      </c>
      <c r="B406" s="1" t="s">
        <v>17</v>
      </c>
      <c r="C406" s="1" t="s">
        <v>17</v>
      </c>
      <c r="D406" s="1" t="s">
        <v>17</v>
      </c>
      <c r="E406" s="1" t="s">
        <v>17</v>
      </c>
      <c r="F406" s="1" t="s">
        <v>17</v>
      </c>
      <c r="G406" s="1" t="s">
        <v>17</v>
      </c>
      <c r="H406" s="1" t="s">
        <v>17</v>
      </c>
      <c r="I406" s="3" t="str">
        <f aca="false">Feuil1!I406</f>
        <v>Chaussures Alpin </v>
      </c>
      <c r="J406" s="3" t="str">
        <f aca="false">Feuil1!J406</f>
        <v>tecnica mach</v>
      </c>
      <c r="K406" s="3" t="str">
        <f aca="false">Feuil1!K406</f>
        <v>36 (EU) / 23 (MP)</v>
      </c>
      <c r="L406" s="3" t="n">
        <f aca="false">Feuil1!L406</f>
        <v>55</v>
      </c>
      <c r="M406" s="1" t="s">
        <v>17</v>
      </c>
      <c r="N406" s="1" t="s">
        <v>18</v>
      </c>
      <c r="O406" s="1" t="s">
        <v>19</v>
      </c>
      <c r="P406" s="4" t="n">
        <v>45973.466099537</v>
      </c>
      <c r="Q406" s="4" t="n">
        <v>45973.466099537</v>
      </c>
    </row>
    <row r="407" customFormat="false" ht="15" hidden="false" customHeight="false" outlineLevel="0" collapsed="false">
      <c r="A407" s="1" t="str">
        <f aca="false">Feuil1!H407</f>
        <v>54152</v>
      </c>
      <c r="B407" s="1" t="s">
        <v>17</v>
      </c>
      <c r="C407" s="1" t="s">
        <v>17</v>
      </c>
      <c r="D407" s="1" t="s">
        <v>17</v>
      </c>
      <c r="E407" s="1" t="s">
        <v>17</v>
      </c>
      <c r="F407" s="1" t="s">
        <v>17</v>
      </c>
      <c r="G407" s="1" t="s">
        <v>17</v>
      </c>
      <c r="H407" s="1" t="s">
        <v>17</v>
      </c>
      <c r="I407" s="3" t="str">
        <f aca="false">Feuil1!I407</f>
        <v>Chaussures Alpin </v>
      </c>
      <c r="J407" s="3" t="str">
        <f aca="false">Feuil1!J407</f>
        <v>tecnica mach</v>
      </c>
      <c r="K407" s="3" t="str">
        <f aca="false">Feuil1!K407</f>
        <v>36 (EU) / 23 (MP)</v>
      </c>
      <c r="L407" s="3" t="n">
        <f aca="false">Feuil1!L407</f>
        <v>55</v>
      </c>
      <c r="M407" s="1" t="s">
        <v>17</v>
      </c>
      <c r="N407" s="1" t="s">
        <v>18</v>
      </c>
      <c r="O407" s="1" t="s">
        <v>19</v>
      </c>
      <c r="P407" s="4" t="n">
        <v>45973.466099537</v>
      </c>
      <c r="Q407" s="4" t="n">
        <v>45973.466099537</v>
      </c>
    </row>
    <row r="408" customFormat="false" ht="15" hidden="false" customHeight="false" outlineLevel="0" collapsed="false">
      <c r="A408" s="1" t="str">
        <f aca="false">Feuil1!H408</f>
        <v>54153</v>
      </c>
      <c r="B408" s="1" t="s">
        <v>17</v>
      </c>
      <c r="C408" s="1" t="s">
        <v>17</v>
      </c>
      <c r="D408" s="1" t="s">
        <v>17</v>
      </c>
      <c r="E408" s="1" t="s">
        <v>17</v>
      </c>
      <c r="F408" s="1" t="s">
        <v>17</v>
      </c>
      <c r="G408" s="1" t="s">
        <v>17</v>
      </c>
      <c r="H408" s="1" t="s">
        <v>17</v>
      </c>
      <c r="I408" s="3" t="str">
        <f aca="false">Feuil1!I408</f>
        <v>Chaussures Alpin </v>
      </c>
      <c r="J408" s="3" t="str">
        <f aca="false">Feuil1!J408</f>
        <v>salomon access</v>
      </c>
      <c r="K408" s="3" t="str">
        <f aca="false">Feuil1!K408</f>
        <v>36 (EU) / 23 (MP)</v>
      </c>
      <c r="L408" s="3" t="n">
        <f aca="false">Feuil1!L408</f>
        <v>55</v>
      </c>
      <c r="M408" s="1" t="s">
        <v>17</v>
      </c>
      <c r="N408" s="1" t="s">
        <v>18</v>
      </c>
      <c r="O408" s="1" t="s">
        <v>19</v>
      </c>
      <c r="P408" s="4" t="n">
        <v>45973.466099537</v>
      </c>
      <c r="Q408" s="4" t="n">
        <v>45973.466099537</v>
      </c>
    </row>
    <row r="409" customFormat="false" ht="15" hidden="false" customHeight="false" outlineLevel="0" collapsed="false">
      <c r="A409" s="1" t="str">
        <f aca="false">Feuil1!H409</f>
        <v>54154</v>
      </c>
      <c r="B409" s="1" t="s">
        <v>17</v>
      </c>
      <c r="C409" s="1" t="s">
        <v>17</v>
      </c>
      <c r="D409" s="1" t="s">
        <v>17</v>
      </c>
      <c r="E409" s="1" t="s">
        <v>17</v>
      </c>
      <c r="F409" s="1" t="s">
        <v>17</v>
      </c>
      <c r="G409" s="1" t="s">
        <v>17</v>
      </c>
      <c r="H409" s="1" t="s">
        <v>17</v>
      </c>
      <c r="I409" s="3" t="str">
        <f aca="false">Feuil1!I409</f>
        <v>Chaussures Alpin </v>
      </c>
      <c r="J409" s="3" t="str">
        <f aca="false">Feuil1!J409</f>
        <v>lange xt</v>
      </c>
      <c r="K409" s="3" t="str">
        <f aca="false">Feuil1!K409</f>
        <v>36 (EU) / 23 (MP)</v>
      </c>
      <c r="L409" s="3" t="n">
        <f aca="false">Feuil1!L409</f>
        <v>55</v>
      </c>
      <c r="M409" s="1" t="s">
        <v>17</v>
      </c>
      <c r="N409" s="1" t="s">
        <v>18</v>
      </c>
      <c r="O409" s="1" t="s">
        <v>19</v>
      </c>
      <c r="P409" s="4" t="n">
        <v>45973.466099537</v>
      </c>
      <c r="Q409" s="4" t="n">
        <v>45973.466099537</v>
      </c>
    </row>
    <row r="410" customFormat="false" ht="15" hidden="false" customHeight="false" outlineLevel="0" collapsed="false">
      <c r="A410" s="1" t="str">
        <f aca="false">Feuil1!H410</f>
        <v>54155</v>
      </c>
      <c r="B410" s="1" t="s">
        <v>17</v>
      </c>
      <c r="C410" s="1" t="s">
        <v>17</v>
      </c>
      <c r="D410" s="1" t="s">
        <v>17</v>
      </c>
      <c r="E410" s="1" t="s">
        <v>17</v>
      </c>
      <c r="F410" s="1" t="s">
        <v>17</v>
      </c>
      <c r="G410" s="1" t="s">
        <v>17</v>
      </c>
      <c r="H410" s="1" t="s">
        <v>17</v>
      </c>
      <c r="I410" s="3" t="str">
        <f aca="false">Feuil1!I410</f>
        <v>Chaussures Alpin </v>
      </c>
      <c r="J410" s="3" t="str">
        <f aca="false">Feuil1!J410</f>
        <v>head lyt</v>
      </c>
      <c r="K410" s="3" t="str">
        <f aca="false">Feuil1!K410</f>
        <v>36 (EU) / 23 (MP)</v>
      </c>
      <c r="L410" s="3" t="n">
        <f aca="false">Feuil1!L410</f>
        <v>49</v>
      </c>
      <c r="M410" s="1" t="s">
        <v>17</v>
      </c>
      <c r="N410" s="1" t="s">
        <v>18</v>
      </c>
      <c r="O410" s="1" t="s">
        <v>19</v>
      </c>
      <c r="P410" s="4" t="n">
        <v>45973.466099537</v>
      </c>
      <c r="Q410" s="4" t="n">
        <v>45973.466099537</v>
      </c>
    </row>
    <row r="411" customFormat="false" ht="15" hidden="false" customHeight="false" outlineLevel="0" collapsed="false">
      <c r="A411" s="1" t="str">
        <f aca="false">Feuil1!H411</f>
        <v>54156</v>
      </c>
      <c r="B411" s="1" t="s">
        <v>17</v>
      </c>
      <c r="C411" s="1" t="s">
        <v>17</v>
      </c>
      <c r="D411" s="1" t="s">
        <v>17</v>
      </c>
      <c r="E411" s="1" t="s">
        <v>17</v>
      </c>
      <c r="F411" s="1" t="s">
        <v>17</v>
      </c>
      <c r="G411" s="1" t="s">
        <v>17</v>
      </c>
      <c r="H411" s="1" t="s">
        <v>17</v>
      </c>
      <c r="I411" s="3" t="str">
        <f aca="false">Feuil1!I411</f>
        <v>Chaussures Alpin </v>
      </c>
      <c r="J411" s="3" t="str">
        <f aca="false">Feuil1!J411</f>
        <v>salomon spro</v>
      </c>
      <c r="K411" s="3" t="str">
        <f aca="false">Feuil1!K411</f>
        <v>36 (EU) / 23 (MP)</v>
      </c>
      <c r="L411" s="3" t="n">
        <f aca="false">Feuil1!L411</f>
        <v>55</v>
      </c>
      <c r="M411" s="1" t="s">
        <v>17</v>
      </c>
      <c r="N411" s="1" t="s">
        <v>18</v>
      </c>
      <c r="O411" s="1" t="s">
        <v>19</v>
      </c>
      <c r="P411" s="4" t="n">
        <v>45973.466099537</v>
      </c>
      <c r="Q411" s="4" t="n">
        <v>45973.466099537</v>
      </c>
    </row>
    <row r="412" customFormat="false" ht="15" hidden="false" customHeight="false" outlineLevel="0" collapsed="false">
      <c r="A412" s="1" t="str">
        <f aca="false">Feuil1!H412</f>
        <v>54157</v>
      </c>
      <c r="B412" s="1" t="s">
        <v>17</v>
      </c>
      <c r="C412" s="1" t="s">
        <v>17</v>
      </c>
      <c r="D412" s="1" t="s">
        <v>17</v>
      </c>
      <c r="E412" s="1" t="s">
        <v>17</v>
      </c>
      <c r="F412" s="1" t="s">
        <v>17</v>
      </c>
      <c r="G412" s="1" t="s">
        <v>17</v>
      </c>
      <c r="H412" s="1" t="s">
        <v>17</v>
      </c>
      <c r="I412" s="3" t="str">
        <f aca="false">Feuil1!I412</f>
        <v>Chaussures Alpin </v>
      </c>
      <c r="J412" s="3" t="str">
        <f aca="false">Feuil1!J412</f>
        <v>salomon quest</v>
      </c>
      <c r="K412" s="3" t="str">
        <f aca="false">Feuil1!K412</f>
        <v>36 (EU) / 23 (MP)</v>
      </c>
      <c r="L412" s="3" t="n">
        <f aca="false">Feuil1!L412</f>
        <v>45</v>
      </c>
      <c r="M412" s="1" t="s">
        <v>17</v>
      </c>
      <c r="N412" s="1" t="s">
        <v>18</v>
      </c>
      <c r="O412" s="1" t="s">
        <v>19</v>
      </c>
      <c r="P412" s="4" t="n">
        <v>45973.466099537</v>
      </c>
      <c r="Q412" s="4" t="n">
        <v>45973.466099537</v>
      </c>
    </row>
    <row r="413" customFormat="false" ht="15" hidden="false" customHeight="false" outlineLevel="0" collapsed="false">
      <c r="A413" s="1" t="str">
        <f aca="false">Feuil1!H413</f>
        <v>54158</v>
      </c>
      <c r="B413" s="1" t="s">
        <v>17</v>
      </c>
      <c r="C413" s="1" t="s">
        <v>17</v>
      </c>
      <c r="D413" s="1" t="s">
        <v>17</v>
      </c>
      <c r="E413" s="1" t="s">
        <v>17</v>
      </c>
      <c r="F413" s="1" t="s">
        <v>17</v>
      </c>
      <c r="G413" s="1" t="s">
        <v>17</v>
      </c>
      <c r="H413" s="1" t="s">
        <v>17</v>
      </c>
      <c r="I413" s="3" t="str">
        <f aca="false">Feuil1!I413</f>
        <v>Chaussures Alpin </v>
      </c>
      <c r="J413" s="3" t="str">
        <f aca="false">Feuil1!J413</f>
        <v>salomon xpro</v>
      </c>
      <c r="K413" s="3" t="str">
        <f aca="false">Feuil1!K413</f>
        <v>36 (EU) / 23 (MP)</v>
      </c>
      <c r="L413" s="3" t="n">
        <f aca="false">Feuil1!L413</f>
        <v>49</v>
      </c>
      <c r="M413" s="1" t="s">
        <v>17</v>
      </c>
      <c r="N413" s="1" t="s">
        <v>18</v>
      </c>
      <c r="O413" s="1" t="s">
        <v>19</v>
      </c>
      <c r="P413" s="4" t="n">
        <v>45973.466099537</v>
      </c>
      <c r="Q413" s="4" t="n">
        <v>45973.466099537</v>
      </c>
    </row>
    <row r="414" customFormat="false" ht="15" hidden="false" customHeight="false" outlineLevel="0" collapsed="false">
      <c r="A414" s="1" t="str">
        <f aca="false">Feuil1!H414</f>
        <v>54159</v>
      </c>
      <c r="B414" s="1" t="s">
        <v>17</v>
      </c>
      <c r="C414" s="1" t="s">
        <v>17</v>
      </c>
      <c r="D414" s="1" t="s">
        <v>17</v>
      </c>
      <c r="E414" s="1" t="s">
        <v>17</v>
      </c>
      <c r="F414" s="1" t="s">
        <v>17</v>
      </c>
      <c r="G414" s="1" t="s">
        <v>17</v>
      </c>
      <c r="H414" s="1" t="s">
        <v>17</v>
      </c>
      <c r="I414" s="3" t="str">
        <f aca="false">Feuil1!I414</f>
        <v>Chaussures Alpin </v>
      </c>
      <c r="J414" s="3" t="str">
        <f aca="false">Feuil1!J414</f>
        <v>salomon alpha</v>
      </c>
      <c r="K414" s="3" t="str">
        <f aca="false">Feuil1!K414</f>
        <v>36 (EU) / 23 (MP)</v>
      </c>
      <c r="L414" s="3" t="n">
        <f aca="false">Feuil1!L414</f>
        <v>55</v>
      </c>
      <c r="M414" s="1" t="s">
        <v>17</v>
      </c>
      <c r="N414" s="1" t="s">
        <v>18</v>
      </c>
      <c r="O414" s="1" t="s">
        <v>19</v>
      </c>
      <c r="P414" s="4" t="n">
        <v>45973.466099537</v>
      </c>
      <c r="Q414" s="4" t="n">
        <v>45973.466099537</v>
      </c>
    </row>
    <row r="415" customFormat="false" ht="15" hidden="false" customHeight="false" outlineLevel="0" collapsed="false">
      <c r="A415" s="1" t="str">
        <f aca="false">Feuil1!H415</f>
        <v>54160</v>
      </c>
      <c r="B415" s="1" t="s">
        <v>17</v>
      </c>
      <c r="C415" s="1" t="s">
        <v>17</v>
      </c>
      <c r="D415" s="1" t="s">
        <v>17</v>
      </c>
      <c r="E415" s="1" t="s">
        <v>17</v>
      </c>
      <c r="F415" s="1" t="s">
        <v>17</v>
      </c>
      <c r="G415" s="1" t="s">
        <v>17</v>
      </c>
      <c r="H415" s="1" t="s">
        <v>17</v>
      </c>
      <c r="I415" s="3" t="str">
        <f aca="false">Feuil1!I415</f>
        <v>Chaussures Alpin </v>
      </c>
      <c r="J415" s="3" t="str">
        <f aca="false">Feuil1!J415</f>
        <v>head lyt</v>
      </c>
      <c r="K415" s="3" t="str">
        <f aca="false">Feuil1!K415</f>
        <v>35 (EU) / 22 (MP)</v>
      </c>
      <c r="L415" s="3" t="n">
        <f aca="false">Feuil1!L415</f>
        <v>49</v>
      </c>
      <c r="M415" s="1" t="s">
        <v>17</v>
      </c>
      <c r="N415" s="1" t="s">
        <v>18</v>
      </c>
      <c r="O415" s="1" t="s">
        <v>19</v>
      </c>
      <c r="P415" s="4" t="n">
        <v>45973.466099537</v>
      </c>
      <c r="Q415" s="4" t="n">
        <v>45973.466099537</v>
      </c>
    </row>
    <row r="416" customFormat="false" ht="15" hidden="false" customHeight="false" outlineLevel="0" collapsed="false">
      <c r="A416" s="1" t="str">
        <f aca="false">Feuil1!H416</f>
        <v>54161</v>
      </c>
      <c r="B416" s="1" t="s">
        <v>17</v>
      </c>
      <c r="C416" s="1" t="s">
        <v>17</v>
      </c>
      <c r="D416" s="1" t="s">
        <v>17</v>
      </c>
      <c r="E416" s="1" t="s">
        <v>17</v>
      </c>
      <c r="F416" s="1" t="s">
        <v>17</v>
      </c>
      <c r="G416" s="1" t="s">
        <v>17</v>
      </c>
      <c r="H416" s="1" t="s">
        <v>17</v>
      </c>
      <c r="I416" s="3" t="str">
        <f aca="false">Feuil1!I416</f>
        <v>Chaussures Alpin </v>
      </c>
      <c r="J416" s="3" t="str">
        <f aca="false">Feuil1!J416</f>
        <v>lange rs</v>
      </c>
      <c r="K416" s="3" t="str">
        <f aca="false">Feuil1!K416</f>
        <v>38 (EU) / 24 (MP)</v>
      </c>
      <c r="L416" s="3" t="n">
        <f aca="false">Feuil1!L416</f>
        <v>35</v>
      </c>
      <c r="M416" s="1" t="s">
        <v>17</v>
      </c>
      <c r="N416" s="1" t="s">
        <v>18</v>
      </c>
      <c r="O416" s="1" t="s">
        <v>19</v>
      </c>
      <c r="P416" s="4" t="n">
        <v>45973.466099537</v>
      </c>
      <c r="Q416" s="4" t="n">
        <v>45973.466099537</v>
      </c>
    </row>
    <row r="417" customFormat="false" ht="15" hidden="false" customHeight="false" outlineLevel="0" collapsed="false">
      <c r="A417" s="1" t="str">
        <f aca="false">Feuil1!H417</f>
        <v>54162</v>
      </c>
      <c r="B417" s="1" t="s">
        <v>17</v>
      </c>
      <c r="C417" s="1" t="s">
        <v>17</v>
      </c>
      <c r="D417" s="1" t="s">
        <v>17</v>
      </c>
      <c r="E417" s="1" t="s">
        <v>17</v>
      </c>
      <c r="F417" s="1" t="s">
        <v>17</v>
      </c>
      <c r="G417" s="1" t="s">
        <v>17</v>
      </c>
      <c r="H417" s="1" t="s">
        <v>17</v>
      </c>
      <c r="I417" s="3" t="str">
        <f aca="false">Feuil1!I417</f>
        <v>Chaussures Alpin </v>
      </c>
      <c r="J417" s="3" t="str">
        <f aca="false">Feuil1!J417</f>
        <v>lange rs</v>
      </c>
      <c r="K417" s="3" t="str">
        <f aca="false">Feuil1!K417</f>
        <v>38 (EU) / 24 (MP)</v>
      </c>
      <c r="L417" s="3" t="n">
        <f aca="false">Feuil1!L417</f>
        <v>35</v>
      </c>
      <c r="M417" s="1" t="s">
        <v>17</v>
      </c>
      <c r="N417" s="1" t="s">
        <v>18</v>
      </c>
      <c r="O417" s="1" t="s">
        <v>19</v>
      </c>
      <c r="P417" s="4" t="n">
        <v>45973.466099537</v>
      </c>
      <c r="Q417" s="4" t="n">
        <v>45973.466099537</v>
      </c>
    </row>
    <row r="418" customFormat="false" ht="15" hidden="false" customHeight="false" outlineLevel="0" collapsed="false">
      <c r="A418" s="1" t="str">
        <f aca="false">Feuil1!H418</f>
        <v>54163</v>
      </c>
      <c r="B418" s="1" t="s">
        <v>17</v>
      </c>
      <c r="C418" s="1" t="s">
        <v>17</v>
      </c>
      <c r="D418" s="1" t="s">
        <v>17</v>
      </c>
      <c r="E418" s="1" t="s">
        <v>17</v>
      </c>
      <c r="F418" s="1" t="s">
        <v>17</v>
      </c>
      <c r="G418" s="1" t="s">
        <v>17</v>
      </c>
      <c r="H418" s="1" t="s">
        <v>17</v>
      </c>
      <c r="I418" s="3" t="str">
        <f aca="false">Feuil1!I418</f>
        <v>Chaussures Alpin </v>
      </c>
      <c r="J418" s="3" t="str">
        <f aca="false">Feuil1!J418</f>
        <v>tecnica cochise</v>
      </c>
      <c r="K418" s="3" t="str">
        <f aca="false">Feuil1!K418</f>
        <v>38 (EU) / 24 (MP)</v>
      </c>
      <c r="L418" s="3" t="n">
        <f aca="false">Feuil1!L418</f>
        <v>35</v>
      </c>
      <c r="M418" s="1" t="s">
        <v>17</v>
      </c>
      <c r="N418" s="1" t="s">
        <v>18</v>
      </c>
      <c r="O418" s="1" t="s">
        <v>19</v>
      </c>
      <c r="P418" s="4" t="n">
        <v>45973.466099537</v>
      </c>
      <c r="Q418" s="4" t="n">
        <v>45973.466099537</v>
      </c>
    </row>
    <row r="419" customFormat="false" ht="15" hidden="false" customHeight="false" outlineLevel="0" collapsed="false">
      <c r="A419" s="1" t="str">
        <f aca="false">Feuil1!H419</f>
        <v>54164</v>
      </c>
      <c r="B419" s="1" t="s">
        <v>17</v>
      </c>
      <c r="C419" s="1" t="s">
        <v>17</v>
      </c>
      <c r="D419" s="1" t="s">
        <v>17</v>
      </c>
      <c r="E419" s="1" t="s">
        <v>17</v>
      </c>
      <c r="F419" s="1" t="s">
        <v>17</v>
      </c>
      <c r="G419" s="1" t="s">
        <v>17</v>
      </c>
      <c r="H419" s="1" t="s">
        <v>17</v>
      </c>
      <c r="I419" s="3" t="str">
        <f aca="false">Feuil1!I419</f>
        <v>Chaussures Alpin </v>
      </c>
      <c r="J419" s="3" t="str">
        <f aca="false">Feuil1!J419</f>
        <v>rossignol hero</v>
      </c>
      <c r="K419" s="3" t="str">
        <f aca="false">Feuil1!K419</f>
        <v>38 (EU) / 24 (MP)</v>
      </c>
      <c r="L419" s="3" t="n">
        <f aca="false">Feuil1!L419</f>
        <v>35</v>
      </c>
      <c r="M419" s="1" t="s">
        <v>17</v>
      </c>
      <c r="N419" s="1" t="s">
        <v>18</v>
      </c>
      <c r="O419" s="1" t="s">
        <v>19</v>
      </c>
      <c r="P419" s="4" t="n">
        <v>45973.466099537</v>
      </c>
      <c r="Q419" s="4" t="n">
        <v>45973.466099537</v>
      </c>
    </row>
    <row r="420" customFormat="false" ht="15" hidden="false" customHeight="false" outlineLevel="0" collapsed="false">
      <c r="A420" s="1" t="str">
        <f aca="false">Feuil1!H420</f>
        <v>54165</v>
      </c>
      <c r="B420" s="1" t="s">
        <v>17</v>
      </c>
      <c r="C420" s="1" t="s">
        <v>17</v>
      </c>
      <c r="D420" s="1" t="s">
        <v>17</v>
      </c>
      <c r="E420" s="1" t="s">
        <v>17</v>
      </c>
      <c r="F420" s="1" t="s">
        <v>17</v>
      </c>
      <c r="G420" s="1" t="s">
        <v>17</v>
      </c>
      <c r="H420" s="1" t="s">
        <v>17</v>
      </c>
      <c r="I420" s="3" t="str">
        <f aca="false">Feuil1!I420</f>
        <v>Chaussures Alpin </v>
      </c>
      <c r="J420" s="3" t="str">
        <f aca="false">Feuil1!J420</f>
        <v>rossignol hero</v>
      </c>
      <c r="K420" s="3" t="str">
        <f aca="false">Feuil1!K420</f>
        <v>38 (EU) / 24 (MP)</v>
      </c>
      <c r="L420" s="3" t="n">
        <f aca="false">Feuil1!L420</f>
        <v>35</v>
      </c>
      <c r="M420" s="1" t="s">
        <v>17</v>
      </c>
      <c r="N420" s="1" t="s">
        <v>18</v>
      </c>
      <c r="O420" s="1" t="s">
        <v>19</v>
      </c>
      <c r="P420" s="4" t="n">
        <v>45973.466099537</v>
      </c>
      <c r="Q420" s="4" t="n">
        <v>45973.466099537</v>
      </c>
    </row>
    <row r="421" customFormat="false" ht="15" hidden="false" customHeight="false" outlineLevel="0" collapsed="false">
      <c r="A421" s="1" t="str">
        <f aca="false">Feuil1!H421</f>
        <v>54166</v>
      </c>
      <c r="B421" s="1" t="s">
        <v>17</v>
      </c>
      <c r="C421" s="1" t="s">
        <v>17</v>
      </c>
      <c r="D421" s="1" t="s">
        <v>17</v>
      </c>
      <c r="E421" s="1" t="s">
        <v>17</v>
      </c>
      <c r="F421" s="1" t="s">
        <v>17</v>
      </c>
      <c r="G421" s="1" t="s">
        <v>17</v>
      </c>
      <c r="H421" s="1" t="s">
        <v>17</v>
      </c>
      <c r="I421" s="3" t="str">
        <f aca="false">Feuil1!I421</f>
        <v>Chaussures Alpin </v>
      </c>
      <c r="J421" s="3" t="str">
        <f aca="false">Feuil1!J421</f>
        <v>rossignol hero</v>
      </c>
      <c r="K421" s="3" t="str">
        <f aca="false">Feuil1!K421</f>
        <v>37 (EU) / 23 (MP)</v>
      </c>
      <c r="L421" s="3" t="n">
        <f aca="false">Feuil1!L421</f>
        <v>35</v>
      </c>
      <c r="M421" s="1" t="s">
        <v>17</v>
      </c>
      <c r="N421" s="1" t="s">
        <v>18</v>
      </c>
      <c r="O421" s="1" t="s">
        <v>19</v>
      </c>
      <c r="P421" s="4" t="n">
        <v>45973.466099537</v>
      </c>
      <c r="Q421" s="4" t="n">
        <v>45973.466099537</v>
      </c>
    </row>
    <row r="422" customFormat="false" ht="15" hidden="false" customHeight="false" outlineLevel="0" collapsed="false">
      <c r="A422" s="1" t="str">
        <f aca="false">Feuil1!H422</f>
        <v>54167</v>
      </c>
      <c r="B422" s="1" t="s">
        <v>17</v>
      </c>
      <c r="C422" s="1" t="s">
        <v>17</v>
      </c>
      <c r="D422" s="1" t="s">
        <v>17</v>
      </c>
      <c r="E422" s="1" t="s">
        <v>17</v>
      </c>
      <c r="F422" s="1" t="s">
        <v>17</v>
      </c>
      <c r="G422" s="1" t="s">
        <v>17</v>
      </c>
      <c r="H422" s="1" t="s">
        <v>17</v>
      </c>
      <c r="I422" s="3" t="str">
        <f aca="false">Feuil1!I422</f>
        <v>Chaussures Alpin </v>
      </c>
      <c r="J422" s="3" t="str">
        <f aca="false">Feuil1!J422</f>
        <v>rossignol hero</v>
      </c>
      <c r="K422" s="3" t="str">
        <f aca="false">Feuil1!K422</f>
        <v>38 (EU) / 24 (MP)</v>
      </c>
      <c r="L422" s="3" t="n">
        <f aca="false">Feuil1!L422</f>
        <v>35</v>
      </c>
      <c r="M422" s="1" t="s">
        <v>17</v>
      </c>
      <c r="N422" s="1" t="s">
        <v>18</v>
      </c>
      <c r="O422" s="1" t="s">
        <v>19</v>
      </c>
      <c r="P422" s="4" t="n">
        <v>45973.466099537</v>
      </c>
      <c r="Q422" s="4" t="n">
        <v>45973.466099537</v>
      </c>
    </row>
    <row r="423" customFormat="false" ht="15" hidden="false" customHeight="false" outlineLevel="0" collapsed="false">
      <c r="A423" s="1" t="str">
        <f aca="false">Feuil1!H423</f>
        <v>54168</v>
      </c>
      <c r="B423" s="1" t="s">
        <v>17</v>
      </c>
      <c r="C423" s="1" t="s">
        <v>17</v>
      </c>
      <c r="D423" s="1" t="s">
        <v>17</v>
      </c>
      <c r="E423" s="1" t="s">
        <v>17</v>
      </c>
      <c r="F423" s="1" t="s">
        <v>17</v>
      </c>
      <c r="G423" s="1" t="s">
        <v>17</v>
      </c>
      <c r="H423" s="1" t="s">
        <v>17</v>
      </c>
      <c r="I423" s="3" t="str">
        <f aca="false">Feuil1!I423</f>
        <v>Chaussures Alpin </v>
      </c>
      <c r="J423" s="3" t="str">
        <f aca="false">Feuil1!J423</f>
        <v>lange rs</v>
      </c>
      <c r="K423" s="3" t="str">
        <f aca="false">Feuil1!K423</f>
        <v>37 (EU) / 23 (MP)</v>
      </c>
      <c r="L423" s="3" t="n">
        <f aca="false">Feuil1!L423</f>
        <v>35</v>
      </c>
      <c r="M423" s="1" t="s">
        <v>17</v>
      </c>
      <c r="N423" s="1" t="s">
        <v>18</v>
      </c>
      <c r="O423" s="1" t="s">
        <v>19</v>
      </c>
      <c r="P423" s="4" t="n">
        <v>45973.466099537</v>
      </c>
      <c r="Q423" s="4" t="n">
        <v>45973.466099537</v>
      </c>
    </row>
    <row r="424" customFormat="false" ht="15" hidden="false" customHeight="false" outlineLevel="0" collapsed="false">
      <c r="A424" s="1" t="str">
        <f aca="false">Feuil1!H424</f>
        <v>54169</v>
      </c>
      <c r="B424" s="1" t="s">
        <v>17</v>
      </c>
      <c r="C424" s="1" t="s">
        <v>17</v>
      </c>
      <c r="D424" s="1" t="s">
        <v>17</v>
      </c>
      <c r="E424" s="1" t="s">
        <v>17</v>
      </c>
      <c r="F424" s="1" t="s">
        <v>17</v>
      </c>
      <c r="G424" s="1" t="s">
        <v>17</v>
      </c>
      <c r="H424" s="1" t="s">
        <v>17</v>
      </c>
      <c r="I424" s="3" t="str">
        <f aca="false">Feuil1!I424</f>
        <v>Chaussures Alpin </v>
      </c>
      <c r="J424" s="3" t="str">
        <f aca="false">Feuil1!J424</f>
        <v>tecnica jr</v>
      </c>
      <c r="K424" s="3" t="str">
        <f aca="false">Feuil1!K424</f>
        <v>38 (EU) / 24 (MP)</v>
      </c>
      <c r="L424" s="3" t="n">
        <f aca="false">Feuil1!L424</f>
        <v>35</v>
      </c>
      <c r="M424" s="1" t="s">
        <v>17</v>
      </c>
      <c r="N424" s="1" t="s">
        <v>18</v>
      </c>
      <c r="O424" s="1" t="s">
        <v>19</v>
      </c>
      <c r="P424" s="4" t="n">
        <v>45973.466099537</v>
      </c>
      <c r="Q424" s="4" t="n">
        <v>45973.466099537</v>
      </c>
    </row>
    <row r="425" customFormat="false" ht="15" hidden="false" customHeight="false" outlineLevel="0" collapsed="false">
      <c r="A425" s="1" t="str">
        <f aca="false">Feuil1!H425</f>
        <v>54170</v>
      </c>
      <c r="B425" s="1" t="s">
        <v>17</v>
      </c>
      <c r="C425" s="1" t="s">
        <v>17</v>
      </c>
      <c r="D425" s="1" t="s">
        <v>17</v>
      </c>
      <c r="E425" s="1" t="s">
        <v>17</v>
      </c>
      <c r="F425" s="1" t="s">
        <v>17</v>
      </c>
      <c r="G425" s="1" t="s">
        <v>17</v>
      </c>
      <c r="H425" s="1" t="s">
        <v>17</v>
      </c>
      <c r="I425" s="3" t="str">
        <f aca="false">Feuil1!I425</f>
        <v>Chaussures Alpin </v>
      </c>
      <c r="J425" s="3" t="str">
        <f aca="false">Feuil1!J425</f>
        <v>tecnica jr</v>
      </c>
      <c r="K425" s="3" t="str">
        <f aca="false">Feuil1!K425</f>
        <v>38 (EU) / 24 (MP)</v>
      </c>
      <c r="L425" s="3" t="n">
        <f aca="false">Feuil1!L425</f>
        <v>35</v>
      </c>
      <c r="M425" s="1" t="s">
        <v>17</v>
      </c>
      <c r="N425" s="1" t="s">
        <v>18</v>
      </c>
      <c r="O425" s="1" t="s">
        <v>19</v>
      </c>
      <c r="P425" s="4" t="n">
        <v>45973.466099537</v>
      </c>
      <c r="Q425" s="4" t="n">
        <v>45973.466099537</v>
      </c>
    </row>
    <row r="426" customFormat="false" ht="15" hidden="false" customHeight="false" outlineLevel="0" collapsed="false">
      <c r="A426" s="1" t="str">
        <f aca="false">Feuil1!H426</f>
        <v>54171</v>
      </c>
      <c r="B426" s="1" t="s">
        <v>17</v>
      </c>
      <c r="C426" s="1" t="s">
        <v>17</v>
      </c>
      <c r="D426" s="1" t="s">
        <v>17</v>
      </c>
      <c r="E426" s="1" t="s">
        <v>17</v>
      </c>
      <c r="F426" s="1" t="s">
        <v>17</v>
      </c>
      <c r="G426" s="1" t="s">
        <v>17</v>
      </c>
      <c r="H426" s="1" t="s">
        <v>17</v>
      </c>
      <c r="I426" s="3" t="str">
        <f aca="false">Feuil1!I426</f>
        <v>Chaussures Alpin </v>
      </c>
      <c r="J426" s="3" t="str">
        <f aca="false">Feuil1!J426</f>
        <v>tecnica jr</v>
      </c>
      <c r="K426" s="3" t="str">
        <f aca="false">Feuil1!K426</f>
        <v>38 (EU) / 24 (MP)</v>
      </c>
      <c r="L426" s="3" t="n">
        <f aca="false">Feuil1!L426</f>
        <v>35</v>
      </c>
      <c r="M426" s="1" t="s">
        <v>17</v>
      </c>
      <c r="N426" s="1" t="s">
        <v>18</v>
      </c>
      <c r="O426" s="1" t="s">
        <v>19</v>
      </c>
      <c r="P426" s="4" t="n">
        <v>45973.466099537</v>
      </c>
      <c r="Q426" s="4" t="n">
        <v>45973.466099537</v>
      </c>
    </row>
    <row r="427" customFormat="false" ht="15" hidden="false" customHeight="false" outlineLevel="0" collapsed="false">
      <c r="A427" s="1" t="str">
        <f aca="false">Feuil1!H427</f>
        <v>54172</v>
      </c>
      <c r="B427" s="1" t="s">
        <v>17</v>
      </c>
      <c r="C427" s="1" t="s">
        <v>17</v>
      </c>
      <c r="D427" s="1" t="s">
        <v>17</v>
      </c>
      <c r="E427" s="1" t="s">
        <v>17</v>
      </c>
      <c r="F427" s="1" t="s">
        <v>17</v>
      </c>
      <c r="G427" s="1" t="s">
        <v>17</v>
      </c>
      <c r="H427" s="1" t="s">
        <v>17</v>
      </c>
      <c r="I427" s="3" t="str">
        <f aca="false">Feuil1!I427</f>
        <v>Chaussures Alpin </v>
      </c>
      <c r="J427" s="3" t="str">
        <f aca="false">Feuil1!J427</f>
        <v>roxa jr</v>
      </c>
      <c r="K427" s="3" t="str">
        <f aca="false">Feuil1!K427</f>
        <v>38 (EU) / 24 (MP)</v>
      </c>
      <c r="L427" s="3" t="n">
        <f aca="false">Feuil1!L427</f>
        <v>35</v>
      </c>
      <c r="M427" s="1" t="s">
        <v>17</v>
      </c>
      <c r="N427" s="1" t="s">
        <v>18</v>
      </c>
      <c r="O427" s="1" t="s">
        <v>19</v>
      </c>
      <c r="P427" s="4" t="n">
        <v>45973.466099537</v>
      </c>
      <c r="Q427" s="4" t="n">
        <v>45973.466099537</v>
      </c>
    </row>
    <row r="428" customFormat="false" ht="15" hidden="false" customHeight="false" outlineLevel="0" collapsed="false">
      <c r="A428" s="1" t="str">
        <f aca="false">Feuil1!H428</f>
        <v>54173</v>
      </c>
      <c r="B428" s="1" t="s">
        <v>17</v>
      </c>
      <c r="C428" s="1" t="s">
        <v>17</v>
      </c>
      <c r="D428" s="1" t="s">
        <v>17</v>
      </c>
      <c r="E428" s="1" t="s">
        <v>17</v>
      </c>
      <c r="F428" s="1" t="s">
        <v>17</v>
      </c>
      <c r="G428" s="1" t="s">
        <v>17</v>
      </c>
      <c r="H428" s="1" t="s">
        <v>17</v>
      </c>
      <c r="I428" s="3" t="str">
        <f aca="false">Feuil1!I428</f>
        <v>Chaussures Alpin </v>
      </c>
      <c r="J428" s="3" t="str">
        <f aca="false">Feuil1!J428</f>
        <v>roxa jr</v>
      </c>
      <c r="K428" s="3" t="str">
        <f aca="false">Feuil1!K428</f>
        <v>38 (EU) / 24 (MP)</v>
      </c>
      <c r="L428" s="3" t="n">
        <f aca="false">Feuil1!L428</f>
        <v>35</v>
      </c>
      <c r="M428" s="1" t="s">
        <v>17</v>
      </c>
      <c r="N428" s="1" t="s">
        <v>18</v>
      </c>
      <c r="O428" s="1" t="s">
        <v>19</v>
      </c>
      <c r="P428" s="4" t="n">
        <v>45973.466099537</v>
      </c>
      <c r="Q428" s="4" t="n">
        <v>45973.466099537</v>
      </c>
    </row>
    <row r="429" customFormat="false" ht="15" hidden="false" customHeight="false" outlineLevel="0" collapsed="false">
      <c r="A429" s="1" t="str">
        <f aca="false">Feuil1!H429</f>
        <v>54174</v>
      </c>
      <c r="B429" s="1" t="s">
        <v>17</v>
      </c>
      <c r="C429" s="1" t="s">
        <v>17</v>
      </c>
      <c r="D429" s="1" t="s">
        <v>17</v>
      </c>
      <c r="E429" s="1" t="s">
        <v>17</v>
      </c>
      <c r="F429" s="1" t="s">
        <v>17</v>
      </c>
      <c r="G429" s="1" t="s">
        <v>17</v>
      </c>
      <c r="H429" s="1" t="s">
        <v>17</v>
      </c>
      <c r="I429" s="3" t="str">
        <f aca="false">Feuil1!I429</f>
        <v>Chaussures Alpin </v>
      </c>
      <c r="J429" s="3" t="str">
        <f aca="false">Feuil1!J429</f>
        <v>lange rs</v>
      </c>
      <c r="K429" s="3" t="str">
        <f aca="false">Feuil1!K429</f>
        <v>38 (EU) / 24 (MP)</v>
      </c>
      <c r="L429" s="3" t="n">
        <f aca="false">Feuil1!L429</f>
        <v>35</v>
      </c>
      <c r="M429" s="1" t="s">
        <v>17</v>
      </c>
      <c r="N429" s="1" t="s">
        <v>18</v>
      </c>
      <c r="O429" s="1" t="s">
        <v>19</v>
      </c>
      <c r="P429" s="4" t="n">
        <v>45973.466099537</v>
      </c>
      <c r="Q429" s="4" t="n">
        <v>45973.466099537</v>
      </c>
    </row>
    <row r="430" customFormat="false" ht="15" hidden="false" customHeight="false" outlineLevel="0" collapsed="false">
      <c r="A430" s="1" t="str">
        <f aca="false">Feuil1!H430</f>
        <v>54175</v>
      </c>
      <c r="B430" s="1" t="s">
        <v>17</v>
      </c>
      <c r="C430" s="1" t="s">
        <v>17</v>
      </c>
      <c r="D430" s="1" t="s">
        <v>17</v>
      </c>
      <c r="E430" s="1" t="s">
        <v>17</v>
      </c>
      <c r="F430" s="1" t="s">
        <v>17</v>
      </c>
      <c r="G430" s="1" t="s">
        <v>17</v>
      </c>
      <c r="H430" s="1" t="s">
        <v>17</v>
      </c>
      <c r="I430" s="3" t="str">
        <f aca="false">Feuil1!I430</f>
        <v>Chaussures Alpin </v>
      </c>
      <c r="J430" s="3" t="str">
        <f aca="false">Feuil1!J430</f>
        <v>nordica gp</v>
      </c>
      <c r="K430" s="3" t="str">
        <f aca="false">Feuil1!K430</f>
        <v>39 (EU) / 25 (MP)</v>
      </c>
      <c r="L430" s="3" t="n">
        <f aca="false">Feuil1!L430</f>
        <v>35</v>
      </c>
      <c r="M430" s="1" t="s">
        <v>17</v>
      </c>
      <c r="N430" s="1" t="s">
        <v>18</v>
      </c>
      <c r="O430" s="1" t="s">
        <v>19</v>
      </c>
      <c r="P430" s="4" t="n">
        <v>45973.466099537</v>
      </c>
      <c r="Q430" s="4" t="n">
        <v>45973.466099537</v>
      </c>
    </row>
    <row r="431" customFormat="false" ht="15" hidden="false" customHeight="false" outlineLevel="0" collapsed="false">
      <c r="A431" s="1" t="str">
        <f aca="false">Feuil1!H431</f>
        <v>54176</v>
      </c>
      <c r="B431" s="1" t="s">
        <v>17</v>
      </c>
      <c r="C431" s="1" t="s">
        <v>17</v>
      </c>
      <c r="D431" s="1" t="s">
        <v>17</v>
      </c>
      <c r="E431" s="1" t="s">
        <v>17</v>
      </c>
      <c r="F431" s="1" t="s">
        <v>17</v>
      </c>
      <c r="G431" s="1" t="s">
        <v>17</v>
      </c>
      <c r="H431" s="1" t="s">
        <v>17</v>
      </c>
      <c r="I431" s="3" t="str">
        <f aca="false">Feuil1!I431</f>
        <v>Chaussures Alpin </v>
      </c>
      <c r="J431" s="3" t="str">
        <f aca="false">Feuil1!J431</f>
        <v>nordica gp</v>
      </c>
      <c r="K431" s="3" t="str">
        <f aca="false">Feuil1!K431</f>
        <v>39 (EU) / 25 (MP)</v>
      </c>
      <c r="L431" s="3" t="n">
        <f aca="false">Feuil1!L431</f>
        <v>35</v>
      </c>
      <c r="M431" s="1" t="s">
        <v>17</v>
      </c>
      <c r="N431" s="1" t="s">
        <v>18</v>
      </c>
      <c r="O431" s="1" t="s">
        <v>19</v>
      </c>
      <c r="P431" s="4" t="n">
        <v>45973.466099537</v>
      </c>
      <c r="Q431" s="4" t="n">
        <v>45973.466099537</v>
      </c>
    </row>
    <row r="432" customFormat="false" ht="15" hidden="false" customHeight="false" outlineLevel="0" collapsed="false">
      <c r="A432" s="1" t="str">
        <f aca="false">Feuil1!H432</f>
        <v>54177</v>
      </c>
      <c r="B432" s="1" t="s">
        <v>17</v>
      </c>
      <c r="C432" s="1" t="s">
        <v>17</v>
      </c>
      <c r="D432" s="1" t="s">
        <v>17</v>
      </c>
      <c r="E432" s="1" t="s">
        <v>17</v>
      </c>
      <c r="F432" s="1" t="s">
        <v>17</v>
      </c>
      <c r="G432" s="1" t="s">
        <v>17</v>
      </c>
      <c r="H432" s="1" t="s">
        <v>17</v>
      </c>
      <c r="I432" s="3" t="str">
        <f aca="false">Feuil1!I432</f>
        <v>Chaussures Alpin </v>
      </c>
      <c r="J432" s="3" t="str">
        <f aca="false">Feuil1!J432</f>
        <v>lange rs</v>
      </c>
      <c r="K432" s="3" t="str">
        <f aca="false">Feuil1!K432</f>
        <v>39 (EU) / 25 (MP)</v>
      </c>
      <c r="L432" s="3" t="n">
        <f aca="false">Feuil1!L432</f>
        <v>35</v>
      </c>
      <c r="M432" s="1" t="s">
        <v>17</v>
      </c>
      <c r="N432" s="1" t="s">
        <v>18</v>
      </c>
      <c r="O432" s="1" t="s">
        <v>19</v>
      </c>
      <c r="P432" s="4" t="n">
        <v>45973.466099537</v>
      </c>
      <c r="Q432" s="4" t="n">
        <v>45973.466099537</v>
      </c>
    </row>
    <row r="433" customFormat="false" ht="15" hidden="false" customHeight="false" outlineLevel="0" collapsed="false">
      <c r="A433" s="1" t="str">
        <f aca="false">Feuil1!H433</f>
        <v>54178</v>
      </c>
      <c r="B433" s="1" t="s">
        <v>17</v>
      </c>
      <c r="C433" s="1" t="s">
        <v>17</v>
      </c>
      <c r="D433" s="1" t="s">
        <v>17</v>
      </c>
      <c r="E433" s="1" t="s">
        <v>17</v>
      </c>
      <c r="F433" s="1" t="s">
        <v>17</v>
      </c>
      <c r="G433" s="1" t="s">
        <v>17</v>
      </c>
      <c r="H433" s="1" t="s">
        <v>17</v>
      </c>
      <c r="I433" s="3" t="str">
        <f aca="false">Feuil1!I433</f>
        <v>Chaussures Alpin </v>
      </c>
      <c r="J433" s="3" t="str">
        <f aca="false">Feuil1!J433</f>
        <v>tecnica cochise</v>
      </c>
      <c r="K433" s="3" t="str">
        <f aca="false">Feuil1!K433</f>
        <v>39 (EU) / 25 (MP)</v>
      </c>
      <c r="L433" s="3" t="n">
        <f aca="false">Feuil1!L433</f>
        <v>35</v>
      </c>
      <c r="M433" s="1" t="s">
        <v>17</v>
      </c>
      <c r="N433" s="1" t="s">
        <v>18</v>
      </c>
      <c r="O433" s="1" t="s">
        <v>19</v>
      </c>
      <c r="P433" s="4" t="n">
        <v>45973.466099537</v>
      </c>
      <c r="Q433" s="4" t="n">
        <v>45973.466099537</v>
      </c>
    </row>
    <row r="434" customFormat="false" ht="15" hidden="false" customHeight="false" outlineLevel="0" collapsed="false">
      <c r="A434" s="1" t="str">
        <f aca="false">Feuil1!H434</f>
        <v>54179</v>
      </c>
      <c r="B434" s="1" t="s">
        <v>17</v>
      </c>
      <c r="C434" s="1" t="s">
        <v>17</v>
      </c>
      <c r="D434" s="1" t="s">
        <v>17</v>
      </c>
      <c r="E434" s="1" t="s">
        <v>17</v>
      </c>
      <c r="F434" s="1" t="s">
        <v>17</v>
      </c>
      <c r="G434" s="1" t="s">
        <v>17</v>
      </c>
      <c r="H434" s="1" t="s">
        <v>17</v>
      </c>
      <c r="I434" s="3" t="str">
        <f aca="false">Feuil1!I434</f>
        <v>Chaussures Alpin </v>
      </c>
      <c r="J434" s="3" t="str">
        <f aca="false">Feuil1!J434</f>
        <v>tecnica cochise</v>
      </c>
      <c r="K434" s="3" t="str">
        <f aca="false">Feuil1!K434</f>
        <v>39 (EU) / 25 (MP)</v>
      </c>
      <c r="L434" s="3" t="n">
        <f aca="false">Feuil1!L434</f>
        <v>35</v>
      </c>
      <c r="M434" s="1" t="s">
        <v>17</v>
      </c>
      <c r="N434" s="1" t="s">
        <v>18</v>
      </c>
      <c r="O434" s="1" t="s">
        <v>19</v>
      </c>
      <c r="P434" s="4" t="n">
        <v>45973.466099537</v>
      </c>
      <c r="Q434" s="4" t="n">
        <v>45973.466099537</v>
      </c>
    </row>
    <row r="435" customFormat="false" ht="15" hidden="false" customHeight="false" outlineLevel="0" collapsed="false">
      <c r="A435" s="1" t="str">
        <f aca="false">Feuil1!H435</f>
        <v>54180</v>
      </c>
      <c r="B435" s="1" t="s">
        <v>17</v>
      </c>
      <c r="C435" s="1" t="s">
        <v>17</v>
      </c>
      <c r="D435" s="1" t="s">
        <v>17</v>
      </c>
      <c r="E435" s="1" t="s">
        <v>17</v>
      </c>
      <c r="F435" s="1" t="s">
        <v>17</v>
      </c>
      <c r="G435" s="1" t="s">
        <v>17</v>
      </c>
      <c r="H435" s="1" t="s">
        <v>17</v>
      </c>
      <c r="I435" s="3" t="str">
        <f aca="false">Feuil1!I435</f>
        <v>Chaussures Alpin </v>
      </c>
      <c r="J435" s="3" t="str">
        <f aca="false">Feuil1!J435</f>
        <v>tecnica cochise</v>
      </c>
      <c r="K435" s="3" t="str">
        <f aca="false">Feuil1!K435</f>
        <v>39 (EU) / 25 (MP)</v>
      </c>
      <c r="L435" s="3" t="n">
        <f aca="false">Feuil1!L435</f>
        <v>35</v>
      </c>
      <c r="M435" s="1" t="s">
        <v>17</v>
      </c>
      <c r="N435" s="1" t="s">
        <v>18</v>
      </c>
      <c r="O435" s="1" t="s">
        <v>19</v>
      </c>
      <c r="P435" s="4" t="n">
        <v>45973.466099537</v>
      </c>
      <c r="Q435" s="4" t="n">
        <v>45973.466099537</v>
      </c>
    </row>
    <row r="436" customFormat="false" ht="15" hidden="false" customHeight="false" outlineLevel="0" collapsed="false">
      <c r="A436" s="1" t="str">
        <f aca="false">Feuil1!H436</f>
        <v>54181</v>
      </c>
      <c r="B436" s="1" t="s">
        <v>17</v>
      </c>
      <c r="C436" s="1" t="s">
        <v>17</v>
      </c>
      <c r="D436" s="1" t="s">
        <v>17</v>
      </c>
      <c r="E436" s="1" t="s">
        <v>17</v>
      </c>
      <c r="F436" s="1" t="s">
        <v>17</v>
      </c>
      <c r="G436" s="1" t="s">
        <v>17</v>
      </c>
      <c r="H436" s="1" t="s">
        <v>17</v>
      </c>
      <c r="I436" s="3" t="str">
        <f aca="false">Feuil1!I436</f>
        <v>Chaussures Alpin </v>
      </c>
      <c r="J436" s="3" t="str">
        <f aca="false">Feuil1!J436</f>
        <v>roxa yeti</v>
      </c>
      <c r="K436" s="3" t="str">
        <f aca="false">Feuil1!K436</f>
        <v>39 (EU) / 25 (MP)</v>
      </c>
      <c r="L436" s="3" t="n">
        <f aca="false">Feuil1!L436</f>
        <v>35</v>
      </c>
      <c r="M436" s="1" t="s">
        <v>17</v>
      </c>
      <c r="N436" s="1" t="s">
        <v>18</v>
      </c>
      <c r="O436" s="1" t="s">
        <v>19</v>
      </c>
      <c r="P436" s="4" t="n">
        <v>45973.466099537</v>
      </c>
      <c r="Q436" s="4" t="n">
        <v>45973.466099537</v>
      </c>
    </row>
    <row r="437" customFormat="false" ht="15" hidden="false" customHeight="false" outlineLevel="0" collapsed="false">
      <c r="A437" s="1" t="str">
        <f aca="false">Feuil1!H437</f>
        <v>54182</v>
      </c>
      <c r="B437" s="1" t="s">
        <v>17</v>
      </c>
      <c r="C437" s="1" t="s">
        <v>17</v>
      </c>
      <c r="D437" s="1" t="s">
        <v>17</v>
      </c>
      <c r="E437" s="1" t="s">
        <v>17</v>
      </c>
      <c r="F437" s="1" t="s">
        <v>17</v>
      </c>
      <c r="G437" s="1" t="s">
        <v>17</v>
      </c>
      <c r="H437" s="1" t="s">
        <v>17</v>
      </c>
      <c r="I437" s="3" t="str">
        <f aca="false">Feuil1!I437</f>
        <v>Chaussures Alpin </v>
      </c>
      <c r="J437" s="3" t="str">
        <f aca="false">Feuil1!J437</f>
        <v>roxa yeti</v>
      </c>
      <c r="K437" s="3" t="str">
        <f aca="false">Feuil1!K437</f>
        <v>39 (EU) / 25 (MP)</v>
      </c>
      <c r="L437" s="3" t="n">
        <f aca="false">Feuil1!L437</f>
        <v>35</v>
      </c>
      <c r="M437" s="1" t="s">
        <v>17</v>
      </c>
      <c r="N437" s="1" t="s">
        <v>18</v>
      </c>
      <c r="O437" s="1" t="s">
        <v>19</v>
      </c>
      <c r="P437" s="4" t="n">
        <v>45973.466099537</v>
      </c>
      <c r="Q437" s="4" t="n">
        <v>45973.466099537</v>
      </c>
    </row>
    <row r="438" customFormat="false" ht="15" hidden="false" customHeight="false" outlineLevel="0" collapsed="false">
      <c r="A438" s="1" t="str">
        <f aca="false">Feuil1!H438</f>
        <v>54183</v>
      </c>
      <c r="B438" s="1" t="s">
        <v>17</v>
      </c>
      <c r="C438" s="1" t="s">
        <v>17</v>
      </c>
      <c r="D438" s="1" t="s">
        <v>17</v>
      </c>
      <c r="E438" s="1" t="s">
        <v>17</v>
      </c>
      <c r="F438" s="1" t="s">
        <v>17</v>
      </c>
      <c r="G438" s="1" t="s">
        <v>17</v>
      </c>
      <c r="H438" s="1" t="s">
        <v>17</v>
      </c>
      <c r="I438" s="3" t="str">
        <f aca="false">Feuil1!I438</f>
        <v>Chaussures Alpin </v>
      </c>
      <c r="J438" s="3" t="str">
        <f aca="false">Feuil1!J438</f>
        <v>roxa yeti</v>
      </c>
      <c r="K438" s="3" t="str">
        <f aca="false">Feuil1!K438</f>
        <v>39 (EU) / 25 (MP)</v>
      </c>
      <c r="L438" s="3" t="n">
        <f aca="false">Feuil1!L438</f>
        <v>35</v>
      </c>
      <c r="M438" s="1" t="s">
        <v>17</v>
      </c>
      <c r="N438" s="1" t="s">
        <v>18</v>
      </c>
      <c r="O438" s="1" t="s">
        <v>19</v>
      </c>
      <c r="P438" s="4" t="n">
        <v>45973.466099537</v>
      </c>
      <c r="Q438" s="4" t="n">
        <v>45973.466099537</v>
      </c>
    </row>
    <row r="439" customFormat="false" ht="15" hidden="false" customHeight="false" outlineLevel="0" collapsed="false">
      <c r="A439" s="1" t="str">
        <f aca="false">Feuil1!H439</f>
        <v>54184</v>
      </c>
      <c r="B439" s="1" t="s">
        <v>17</v>
      </c>
      <c r="C439" s="1" t="s">
        <v>17</v>
      </c>
      <c r="D439" s="1" t="s">
        <v>17</v>
      </c>
      <c r="E439" s="1" t="s">
        <v>17</v>
      </c>
      <c r="F439" s="1" t="s">
        <v>17</v>
      </c>
      <c r="G439" s="1" t="s">
        <v>17</v>
      </c>
      <c r="H439" s="1" t="s">
        <v>17</v>
      </c>
      <c r="I439" s="3" t="str">
        <f aca="false">Feuil1!I439</f>
        <v>Chaussures Alpin </v>
      </c>
      <c r="J439" s="3" t="str">
        <f aca="false">Feuil1!J439</f>
        <v>lange lx</v>
      </c>
      <c r="K439" s="3" t="str">
        <f aca="false">Feuil1!K439</f>
        <v>39 (EU) / 25 (MP)</v>
      </c>
      <c r="L439" s="3" t="n">
        <f aca="false">Feuil1!L439</f>
        <v>35</v>
      </c>
      <c r="M439" s="1" t="s">
        <v>17</v>
      </c>
      <c r="N439" s="1" t="s">
        <v>18</v>
      </c>
      <c r="O439" s="1" t="s">
        <v>19</v>
      </c>
      <c r="P439" s="4" t="n">
        <v>45973.466099537</v>
      </c>
      <c r="Q439" s="4" t="n">
        <v>45973.466099537</v>
      </c>
    </row>
    <row r="440" customFormat="false" ht="15" hidden="false" customHeight="false" outlineLevel="0" collapsed="false">
      <c r="A440" s="1" t="str">
        <f aca="false">Feuil1!H440</f>
        <v>54185</v>
      </c>
      <c r="B440" s="1" t="s">
        <v>17</v>
      </c>
      <c r="C440" s="1" t="s">
        <v>17</v>
      </c>
      <c r="D440" s="1" t="s">
        <v>17</v>
      </c>
      <c r="E440" s="1" t="s">
        <v>17</v>
      </c>
      <c r="F440" s="1" t="s">
        <v>17</v>
      </c>
      <c r="G440" s="1" t="s">
        <v>17</v>
      </c>
      <c r="H440" s="1" t="s">
        <v>17</v>
      </c>
      <c r="I440" s="3" t="str">
        <f aca="false">Feuil1!I440</f>
        <v>Chaussures Alpin </v>
      </c>
      <c r="J440" s="3" t="str">
        <f aca="false">Feuil1!J440</f>
        <v>lange lx</v>
      </c>
      <c r="K440" s="3" t="str">
        <f aca="false">Feuil1!K440</f>
        <v>39 (EU) / 25 (MP)</v>
      </c>
      <c r="L440" s="3" t="n">
        <f aca="false">Feuil1!L440</f>
        <v>35</v>
      </c>
      <c r="M440" s="1" t="s">
        <v>17</v>
      </c>
      <c r="N440" s="1" t="s">
        <v>18</v>
      </c>
      <c r="O440" s="1" t="s">
        <v>19</v>
      </c>
      <c r="P440" s="4" t="n">
        <v>45973.466099537</v>
      </c>
      <c r="Q440" s="4" t="n">
        <v>45973.466099537</v>
      </c>
    </row>
    <row r="441" customFormat="false" ht="15" hidden="false" customHeight="false" outlineLevel="0" collapsed="false">
      <c r="A441" s="1" t="str">
        <f aca="false">Feuil1!H441</f>
        <v>54186</v>
      </c>
      <c r="B441" s="1" t="s">
        <v>17</v>
      </c>
      <c r="C441" s="1" t="s">
        <v>17</v>
      </c>
      <c r="D441" s="1" t="s">
        <v>17</v>
      </c>
      <c r="E441" s="1" t="s">
        <v>17</v>
      </c>
      <c r="F441" s="1" t="s">
        <v>17</v>
      </c>
      <c r="G441" s="1" t="s">
        <v>17</v>
      </c>
      <c r="H441" s="1" t="s">
        <v>17</v>
      </c>
      <c r="I441" s="3" t="str">
        <f aca="false">Feuil1!I441</f>
        <v>Chaussures Alpin </v>
      </c>
      <c r="J441" s="3" t="str">
        <f aca="false">Feuil1!J441</f>
        <v>rossignol fun</v>
      </c>
      <c r="K441" s="3" t="str">
        <f aca="false">Feuil1!K441</f>
        <v>39 (EU) / 25 (MP)</v>
      </c>
      <c r="L441" s="3" t="n">
        <f aca="false">Feuil1!L441</f>
        <v>29</v>
      </c>
      <c r="M441" s="1" t="s">
        <v>17</v>
      </c>
      <c r="N441" s="1" t="s">
        <v>18</v>
      </c>
      <c r="O441" s="1" t="s">
        <v>19</v>
      </c>
      <c r="P441" s="4" t="n">
        <v>45973.466099537</v>
      </c>
      <c r="Q441" s="4" t="n">
        <v>45973.466099537</v>
      </c>
    </row>
    <row r="442" customFormat="false" ht="15" hidden="false" customHeight="false" outlineLevel="0" collapsed="false">
      <c r="A442" s="1" t="str">
        <f aca="false">Feuil1!H442</f>
        <v>54187</v>
      </c>
      <c r="B442" s="1" t="s">
        <v>17</v>
      </c>
      <c r="C442" s="1" t="s">
        <v>17</v>
      </c>
      <c r="D442" s="1" t="s">
        <v>17</v>
      </c>
      <c r="E442" s="1" t="s">
        <v>17</v>
      </c>
      <c r="F442" s="1" t="s">
        <v>17</v>
      </c>
      <c r="G442" s="1" t="s">
        <v>17</v>
      </c>
      <c r="H442" s="1" t="s">
        <v>17</v>
      </c>
      <c r="I442" s="3" t="str">
        <f aca="false">Feuil1!I442</f>
        <v>Chaussures Alpin </v>
      </c>
      <c r="J442" s="3" t="str">
        <f aca="false">Feuil1!J442</f>
        <v>tecnica cochise</v>
      </c>
      <c r="K442" s="3" t="str">
        <f aca="false">Feuil1!K442</f>
        <v>39 (EU) / 25 (MP)</v>
      </c>
      <c r="L442" s="3" t="n">
        <f aca="false">Feuil1!L442</f>
        <v>35</v>
      </c>
      <c r="M442" s="1" t="s">
        <v>17</v>
      </c>
      <c r="N442" s="1" t="s">
        <v>18</v>
      </c>
      <c r="O442" s="1" t="s">
        <v>19</v>
      </c>
      <c r="P442" s="4" t="n">
        <v>45973.466099537</v>
      </c>
      <c r="Q442" s="4" t="n">
        <v>45973.466099537</v>
      </c>
    </row>
    <row r="443" customFormat="false" ht="15" hidden="false" customHeight="false" outlineLevel="0" collapsed="false">
      <c r="A443" s="1" t="str">
        <f aca="false">Feuil1!H443</f>
        <v>54188</v>
      </c>
      <c r="B443" s="1" t="s">
        <v>17</v>
      </c>
      <c r="C443" s="1" t="s">
        <v>17</v>
      </c>
      <c r="D443" s="1" t="s">
        <v>17</v>
      </c>
      <c r="E443" s="1" t="s">
        <v>17</v>
      </c>
      <c r="F443" s="1" t="s">
        <v>17</v>
      </c>
      <c r="G443" s="1" t="s">
        <v>17</v>
      </c>
      <c r="H443" s="1" t="s">
        <v>17</v>
      </c>
      <c r="I443" s="3" t="str">
        <f aca="false">Feuil1!I443</f>
        <v>Chaussures Alpin </v>
      </c>
      <c r="J443" s="3" t="str">
        <f aca="false">Feuil1!J443</f>
        <v>lange rs</v>
      </c>
      <c r="K443" s="3" t="str">
        <f aca="false">Feuil1!K443</f>
        <v>41 (EU) / 26 (MP)</v>
      </c>
      <c r="L443" s="3" t="n">
        <f aca="false">Feuil1!L443</f>
        <v>35</v>
      </c>
      <c r="M443" s="1" t="s">
        <v>17</v>
      </c>
      <c r="N443" s="1" t="s">
        <v>18</v>
      </c>
      <c r="O443" s="1" t="s">
        <v>19</v>
      </c>
      <c r="P443" s="4" t="n">
        <v>45973.466099537</v>
      </c>
      <c r="Q443" s="4" t="n">
        <v>45973.466099537</v>
      </c>
    </row>
    <row r="444" customFormat="false" ht="15" hidden="false" customHeight="false" outlineLevel="0" collapsed="false">
      <c r="A444" s="1" t="str">
        <f aca="false">Feuil1!H444</f>
        <v>54189</v>
      </c>
      <c r="B444" s="1" t="s">
        <v>17</v>
      </c>
      <c r="C444" s="1" t="s">
        <v>17</v>
      </c>
      <c r="D444" s="1" t="s">
        <v>17</v>
      </c>
      <c r="E444" s="1" t="s">
        <v>17</v>
      </c>
      <c r="F444" s="1" t="s">
        <v>17</v>
      </c>
      <c r="G444" s="1" t="s">
        <v>17</v>
      </c>
      <c r="H444" s="1" t="s">
        <v>17</v>
      </c>
      <c r="I444" s="3" t="str">
        <f aca="false">Feuil1!I444</f>
        <v>Chaussures Alpin </v>
      </c>
      <c r="J444" s="3" t="str">
        <f aca="false">Feuil1!J444</f>
        <v>lange rs</v>
      </c>
      <c r="K444" s="3" t="str">
        <f aca="false">Feuil1!K444</f>
        <v>41 (EU) / 26 (MP)</v>
      </c>
      <c r="L444" s="3" t="n">
        <f aca="false">Feuil1!L444</f>
        <v>35</v>
      </c>
      <c r="M444" s="1" t="s">
        <v>17</v>
      </c>
      <c r="N444" s="1" t="s">
        <v>18</v>
      </c>
      <c r="O444" s="1" t="s">
        <v>19</v>
      </c>
      <c r="P444" s="4" t="n">
        <v>45973.466099537</v>
      </c>
      <c r="Q444" s="4" t="n">
        <v>45973.466099537</v>
      </c>
    </row>
    <row r="445" customFormat="false" ht="15" hidden="false" customHeight="false" outlineLevel="0" collapsed="false">
      <c r="A445" s="1" t="str">
        <f aca="false">Feuil1!H445</f>
        <v>54190</v>
      </c>
      <c r="B445" s="1" t="s">
        <v>17</v>
      </c>
      <c r="C445" s="1" t="s">
        <v>17</v>
      </c>
      <c r="D445" s="1" t="s">
        <v>17</v>
      </c>
      <c r="E445" s="1" t="s">
        <v>17</v>
      </c>
      <c r="F445" s="1" t="s">
        <v>17</v>
      </c>
      <c r="G445" s="1" t="s">
        <v>17</v>
      </c>
      <c r="H445" s="1" t="s">
        <v>17</v>
      </c>
      <c r="I445" s="3" t="str">
        <f aca="false">Feuil1!I445</f>
        <v>Chaussures Alpin </v>
      </c>
      <c r="J445" s="3" t="str">
        <f aca="false">Feuil1!J445</f>
        <v>dalbello gaia</v>
      </c>
      <c r="K445" s="3" t="str">
        <f aca="false">Feuil1!K445</f>
        <v>41 (EU) / 26 (MP)</v>
      </c>
      <c r="L445" s="3" t="n">
        <f aca="false">Feuil1!L445</f>
        <v>35</v>
      </c>
      <c r="M445" s="1" t="s">
        <v>17</v>
      </c>
      <c r="N445" s="1" t="s">
        <v>18</v>
      </c>
      <c r="O445" s="1" t="s">
        <v>19</v>
      </c>
      <c r="P445" s="4" t="n">
        <v>45973.466099537</v>
      </c>
      <c r="Q445" s="4" t="n">
        <v>45973.466099537</v>
      </c>
    </row>
    <row r="446" customFormat="false" ht="15" hidden="false" customHeight="false" outlineLevel="0" collapsed="false">
      <c r="A446" s="1" t="str">
        <f aca="false">Feuil1!H446</f>
        <v>54191</v>
      </c>
      <c r="B446" s="1" t="s">
        <v>17</v>
      </c>
      <c r="C446" s="1" t="s">
        <v>17</v>
      </c>
      <c r="D446" s="1" t="s">
        <v>17</v>
      </c>
      <c r="E446" s="1" t="s">
        <v>17</v>
      </c>
      <c r="F446" s="1" t="s">
        <v>17</v>
      </c>
      <c r="G446" s="1" t="s">
        <v>17</v>
      </c>
      <c r="H446" s="1" t="s">
        <v>17</v>
      </c>
      <c r="I446" s="3" t="str">
        <f aca="false">Feuil1!I446</f>
        <v>Chaussures Alpin </v>
      </c>
      <c r="J446" s="3" t="str">
        <f aca="false">Feuil1!J446</f>
        <v>rossignol hero</v>
      </c>
      <c r="K446" s="3" t="str">
        <f aca="false">Feuil1!K446</f>
        <v>40 (EU) / 25 (MP)</v>
      </c>
      <c r="L446" s="3" t="n">
        <f aca="false">Feuil1!L446</f>
        <v>35</v>
      </c>
      <c r="M446" s="1" t="s">
        <v>17</v>
      </c>
      <c r="N446" s="1" t="s">
        <v>18</v>
      </c>
      <c r="O446" s="1" t="s">
        <v>19</v>
      </c>
      <c r="P446" s="4" t="n">
        <v>45973.466099537</v>
      </c>
      <c r="Q446" s="4" t="n">
        <v>45973.466099537</v>
      </c>
    </row>
    <row r="447" customFormat="false" ht="15" hidden="false" customHeight="false" outlineLevel="0" collapsed="false">
      <c r="A447" s="1" t="str">
        <f aca="false">Feuil1!H447</f>
        <v>54192</v>
      </c>
      <c r="B447" s="1" t="s">
        <v>17</v>
      </c>
      <c r="C447" s="1" t="s">
        <v>17</v>
      </c>
      <c r="D447" s="1" t="s">
        <v>17</v>
      </c>
      <c r="E447" s="1" t="s">
        <v>17</v>
      </c>
      <c r="F447" s="1" t="s">
        <v>17</v>
      </c>
      <c r="G447" s="1" t="s">
        <v>17</v>
      </c>
      <c r="H447" s="1" t="s">
        <v>17</v>
      </c>
      <c r="I447" s="3" t="str">
        <f aca="false">Feuil1!I447</f>
        <v>Chaussures Alpin </v>
      </c>
      <c r="J447" s="3" t="str">
        <f aca="false">Feuil1!J447</f>
        <v>roxa yeti</v>
      </c>
      <c r="K447" s="3" t="str">
        <f aca="false">Feuil1!K447</f>
        <v>41 (EU) / 26 (MP)</v>
      </c>
      <c r="L447" s="3" t="n">
        <f aca="false">Feuil1!L447</f>
        <v>35</v>
      </c>
      <c r="M447" s="1" t="s">
        <v>17</v>
      </c>
      <c r="N447" s="1" t="s">
        <v>18</v>
      </c>
      <c r="O447" s="1" t="s">
        <v>19</v>
      </c>
      <c r="P447" s="4" t="n">
        <v>45973.466099537</v>
      </c>
      <c r="Q447" s="4" t="n">
        <v>45973.466099537</v>
      </c>
    </row>
    <row r="448" customFormat="false" ht="15" hidden="false" customHeight="false" outlineLevel="0" collapsed="false">
      <c r="A448" s="1" t="str">
        <f aca="false">Feuil1!H448</f>
        <v>54193</v>
      </c>
      <c r="B448" s="1" t="s">
        <v>17</v>
      </c>
      <c r="C448" s="1" t="s">
        <v>17</v>
      </c>
      <c r="D448" s="1" t="s">
        <v>17</v>
      </c>
      <c r="E448" s="1" t="s">
        <v>17</v>
      </c>
      <c r="F448" s="1" t="s">
        <v>17</v>
      </c>
      <c r="G448" s="1" t="s">
        <v>17</v>
      </c>
      <c r="H448" s="1" t="s">
        <v>17</v>
      </c>
      <c r="I448" s="3" t="str">
        <f aca="false">Feuil1!I448</f>
        <v>Chaussures Alpin </v>
      </c>
      <c r="J448" s="3" t="str">
        <f aca="false">Feuil1!J448</f>
        <v>roxa yeti</v>
      </c>
      <c r="K448" s="3" t="str">
        <f aca="false">Feuil1!K448</f>
        <v>41 (EU) / 26 (MP)</v>
      </c>
      <c r="L448" s="3" t="n">
        <f aca="false">Feuil1!L448</f>
        <v>35</v>
      </c>
      <c r="M448" s="1" t="s">
        <v>17</v>
      </c>
      <c r="N448" s="1" t="s">
        <v>18</v>
      </c>
      <c r="O448" s="1" t="s">
        <v>19</v>
      </c>
      <c r="P448" s="4" t="n">
        <v>45973.466099537</v>
      </c>
      <c r="Q448" s="4" t="n">
        <v>45973.466099537</v>
      </c>
    </row>
    <row r="449" customFormat="false" ht="15" hidden="false" customHeight="false" outlineLevel="0" collapsed="false">
      <c r="A449" s="1" t="str">
        <f aca="false">Feuil1!H449</f>
        <v>54194</v>
      </c>
      <c r="B449" s="1" t="s">
        <v>17</v>
      </c>
      <c r="C449" s="1" t="s">
        <v>17</v>
      </c>
      <c r="D449" s="1" t="s">
        <v>17</v>
      </c>
      <c r="E449" s="1" t="s">
        <v>17</v>
      </c>
      <c r="F449" s="1" t="s">
        <v>17</v>
      </c>
      <c r="G449" s="1" t="s">
        <v>17</v>
      </c>
      <c r="H449" s="1" t="s">
        <v>17</v>
      </c>
      <c r="I449" s="3" t="str">
        <f aca="false">Feuil1!I449</f>
        <v>Chaussures Alpin </v>
      </c>
      <c r="J449" s="3" t="str">
        <f aca="false">Feuil1!J449</f>
        <v>tecnica cochise</v>
      </c>
      <c r="K449" s="3" t="str">
        <f aca="false">Feuil1!K449</f>
        <v>40 (EU) / 25 (MP)</v>
      </c>
      <c r="L449" s="3" t="n">
        <f aca="false">Feuil1!L449</f>
        <v>35</v>
      </c>
      <c r="M449" s="1" t="s">
        <v>17</v>
      </c>
      <c r="N449" s="1" t="s">
        <v>18</v>
      </c>
      <c r="O449" s="1" t="s">
        <v>19</v>
      </c>
      <c r="P449" s="4" t="n">
        <v>45973.466099537</v>
      </c>
      <c r="Q449" s="4" t="n">
        <v>45973.466099537</v>
      </c>
    </row>
    <row r="450" customFormat="false" ht="15" hidden="false" customHeight="false" outlineLevel="0" collapsed="false">
      <c r="A450" s="1" t="str">
        <f aca="false">Feuil1!H450</f>
        <v>54195</v>
      </c>
      <c r="B450" s="1" t="s">
        <v>17</v>
      </c>
      <c r="C450" s="1" t="s">
        <v>17</v>
      </c>
      <c r="D450" s="1" t="s">
        <v>17</v>
      </c>
      <c r="E450" s="1" t="s">
        <v>17</v>
      </c>
      <c r="F450" s="1" t="s">
        <v>17</v>
      </c>
      <c r="G450" s="1" t="s">
        <v>17</v>
      </c>
      <c r="H450" s="1" t="s">
        <v>17</v>
      </c>
      <c r="I450" s="3" t="str">
        <f aca="false">Feuil1!I450</f>
        <v>Chaussures Alpin </v>
      </c>
      <c r="J450" s="3" t="str">
        <f aca="false">Feuil1!J450</f>
        <v>tecnica cochise</v>
      </c>
      <c r="K450" s="3" t="str">
        <f aca="false">Feuil1!K450</f>
        <v>40 (EU) / 25 (MP)</v>
      </c>
      <c r="L450" s="3" t="n">
        <f aca="false">Feuil1!L450</f>
        <v>35</v>
      </c>
      <c r="M450" s="1" t="s">
        <v>17</v>
      </c>
      <c r="N450" s="1" t="s">
        <v>18</v>
      </c>
      <c r="O450" s="1" t="s">
        <v>19</v>
      </c>
      <c r="P450" s="4" t="n">
        <v>45973.466099537</v>
      </c>
      <c r="Q450" s="4" t="n">
        <v>45973.466099537</v>
      </c>
    </row>
    <row r="451" customFormat="false" ht="15" hidden="false" customHeight="false" outlineLevel="0" collapsed="false">
      <c r="A451" s="1" t="str">
        <f aca="false">Feuil1!H451</f>
        <v>54196</v>
      </c>
      <c r="B451" s="1" t="s">
        <v>17</v>
      </c>
      <c r="C451" s="1" t="s">
        <v>17</v>
      </c>
      <c r="D451" s="1" t="s">
        <v>17</v>
      </c>
      <c r="E451" s="1" t="s">
        <v>17</v>
      </c>
      <c r="F451" s="1" t="s">
        <v>17</v>
      </c>
      <c r="G451" s="1" t="s">
        <v>17</v>
      </c>
      <c r="H451" s="1" t="s">
        <v>17</v>
      </c>
      <c r="I451" s="3" t="str">
        <f aca="false">Feuil1!I451</f>
        <v>Chaussures Alpin </v>
      </c>
      <c r="J451" s="3" t="str">
        <f aca="false">Feuil1!J451</f>
        <v>tecnica cochise</v>
      </c>
      <c r="K451" s="3" t="str">
        <f aca="false">Feuil1!K451</f>
        <v>41 (EU) / 26 (MP)</v>
      </c>
      <c r="L451" s="3" t="n">
        <f aca="false">Feuil1!L451</f>
        <v>35</v>
      </c>
      <c r="M451" s="1" t="s">
        <v>17</v>
      </c>
      <c r="N451" s="1" t="s">
        <v>18</v>
      </c>
      <c r="O451" s="1" t="s">
        <v>19</v>
      </c>
      <c r="P451" s="4" t="n">
        <v>45973.466099537</v>
      </c>
      <c r="Q451" s="4" t="n">
        <v>45973.466099537</v>
      </c>
    </row>
    <row r="452" customFormat="false" ht="15" hidden="false" customHeight="false" outlineLevel="0" collapsed="false">
      <c r="A452" s="1" t="str">
        <f aca="false">Feuil1!H452</f>
        <v>54197</v>
      </c>
      <c r="B452" s="1" t="s">
        <v>17</v>
      </c>
      <c r="C452" s="1" t="s">
        <v>17</v>
      </c>
      <c r="D452" s="1" t="s">
        <v>17</v>
      </c>
      <c r="E452" s="1" t="s">
        <v>17</v>
      </c>
      <c r="F452" s="1" t="s">
        <v>17</v>
      </c>
      <c r="G452" s="1" t="s">
        <v>17</v>
      </c>
      <c r="H452" s="1" t="s">
        <v>17</v>
      </c>
      <c r="I452" s="3" t="str">
        <f aca="false">Feuil1!I452</f>
        <v>Chaussures Alpin </v>
      </c>
      <c r="J452" s="3" t="str">
        <f aca="false">Feuil1!J452</f>
        <v>fischer jr</v>
      </c>
      <c r="K452" s="3" t="str">
        <f aca="false">Feuil1!K452</f>
        <v>40 (EU) / 25 (MP)</v>
      </c>
      <c r="L452" s="3" t="n">
        <f aca="false">Feuil1!L452</f>
        <v>35</v>
      </c>
      <c r="M452" s="1" t="s">
        <v>17</v>
      </c>
      <c r="N452" s="1" t="s">
        <v>18</v>
      </c>
      <c r="O452" s="1" t="s">
        <v>19</v>
      </c>
      <c r="P452" s="4" t="n">
        <v>45973.466099537</v>
      </c>
      <c r="Q452" s="4" t="n">
        <v>45973.466099537</v>
      </c>
    </row>
    <row r="453" customFormat="false" ht="15" hidden="false" customHeight="false" outlineLevel="0" collapsed="false">
      <c r="A453" s="1" t="str">
        <f aca="false">Feuil1!H453</f>
        <v>54198</v>
      </c>
      <c r="B453" s="1" t="s">
        <v>17</v>
      </c>
      <c r="C453" s="1" t="s">
        <v>17</v>
      </c>
      <c r="D453" s="1" t="s">
        <v>17</v>
      </c>
      <c r="E453" s="1" t="s">
        <v>17</v>
      </c>
      <c r="F453" s="1" t="s">
        <v>17</v>
      </c>
      <c r="G453" s="1" t="s">
        <v>17</v>
      </c>
      <c r="H453" s="1" t="s">
        <v>17</v>
      </c>
      <c r="I453" s="3" t="str">
        <f aca="false">Feuil1!I453</f>
        <v>Chaussures Alpin </v>
      </c>
      <c r="J453" s="3" t="str">
        <f aca="false">Feuil1!J453</f>
        <v>tecnica cochise</v>
      </c>
      <c r="K453" s="3" t="str">
        <f aca="false">Feuil1!K453</f>
        <v>42 (EU) / 26 (MP)</v>
      </c>
      <c r="L453" s="3" t="n">
        <f aca="false">Feuil1!L453</f>
        <v>35</v>
      </c>
      <c r="M453" s="1" t="s">
        <v>17</v>
      </c>
      <c r="N453" s="1" t="s">
        <v>18</v>
      </c>
      <c r="O453" s="1" t="s">
        <v>19</v>
      </c>
      <c r="P453" s="4" t="n">
        <v>45973.466099537</v>
      </c>
      <c r="Q453" s="4" t="n">
        <v>45973.466099537</v>
      </c>
    </row>
    <row r="454" customFormat="false" ht="15" hidden="false" customHeight="false" outlineLevel="0" collapsed="false">
      <c r="A454" s="1" t="str">
        <f aca="false">Feuil1!H454</f>
        <v>54199</v>
      </c>
      <c r="B454" s="1" t="s">
        <v>17</v>
      </c>
      <c r="C454" s="1" t="s">
        <v>17</v>
      </c>
      <c r="D454" s="1" t="s">
        <v>17</v>
      </c>
      <c r="E454" s="1" t="s">
        <v>17</v>
      </c>
      <c r="F454" s="1" t="s">
        <v>17</v>
      </c>
      <c r="G454" s="1" t="s">
        <v>17</v>
      </c>
      <c r="H454" s="1" t="s">
        <v>17</v>
      </c>
      <c r="I454" s="3" t="str">
        <f aca="false">Feuil1!I454</f>
        <v>Chaussures Alpin </v>
      </c>
      <c r="J454" s="3" t="str">
        <f aca="false">Feuil1!J454</f>
        <v>salomon max</v>
      </c>
      <c r="K454" s="3" t="str">
        <f aca="false">Feuil1!K454</f>
        <v>36 (EU) / 23 (MP)</v>
      </c>
      <c r="L454" s="3" t="n">
        <f aca="false">Feuil1!L454</f>
        <v>35</v>
      </c>
      <c r="M454" s="1" t="s">
        <v>17</v>
      </c>
      <c r="N454" s="1" t="s">
        <v>18</v>
      </c>
      <c r="O454" s="1" t="s">
        <v>19</v>
      </c>
      <c r="P454" s="4" t="n">
        <v>45973.466099537</v>
      </c>
      <c r="Q454" s="4" t="n">
        <v>45973.466099537</v>
      </c>
    </row>
    <row r="455" customFormat="false" ht="15" hidden="false" customHeight="false" outlineLevel="0" collapsed="false">
      <c r="A455" s="1" t="str">
        <f aca="false">Feuil1!H455</f>
        <v>54200</v>
      </c>
      <c r="B455" s="1" t="s">
        <v>17</v>
      </c>
      <c r="C455" s="1" t="s">
        <v>17</v>
      </c>
      <c r="D455" s="1" t="s">
        <v>17</v>
      </c>
      <c r="E455" s="1" t="s">
        <v>17</v>
      </c>
      <c r="F455" s="1" t="s">
        <v>17</v>
      </c>
      <c r="G455" s="1" t="s">
        <v>17</v>
      </c>
      <c r="H455" s="1" t="s">
        <v>17</v>
      </c>
      <c r="I455" s="3" t="str">
        <f aca="false">Feuil1!I455</f>
        <v>Chaussures Alpin </v>
      </c>
      <c r="J455" s="3" t="str">
        <f aca="false">Feuil1!J455</f>
        <v>salomon quest</v>
      </c>
      <c r="K455" s="3" t="str">
        <f aca="false">Feuil1!K455</f>
        <v>36 (EU) / 23 (MP)</v>
      </c>
      <c r="L455" s="3" t="n">
        <f aca="false">Feuil1!L455</f>
        <v>35</v>
      </c>
      <c r="M455" s="1" t="s">
        <v>17</v>
      </c>
      <c r="N455" s="1" t="s">
        <v>18</v>
      </c>
      <c r="O455" s="1" t="s">
        <v>19</v>
      </c>
      <c r="P455" s="4" t="n">
        <v>45973.466099537</v>
      </c>
      <c r="Q455" s="4" t="n">
        <v>45973.466099537</v>
      </c>
    </row>
    <row r="456" customFormat="false" ht="15" hidden="false" customHeight="false" outlineLevel="0" collapsed="false">
      <c r="A456" s="1" t="str">
        <f aca="false">Feuil1!H456</f>
        <v>54201</v>
      </c>
      <c r="B456" s="1" t="s">
        <v>17</v>
      </c>
      <c r="C456" s="1" t="s">
        <v>17</v>
      </c>
      <c r="D456" s="1" t="s">
        <v>17</v>
      </c>
      <c r="E456" s="1" t="s">
        <v>17</v>
      </c>
      <c r="F456" s="1" t="s">
        <v>17</v>
      </c>
      <c r="G456" s="1" t="s">
        <v>17</v>
      </c>
      <c r="H456" s="1" t="s">
        <v>17</v>
      </c>
      <c r="I456" s="3" t="str">
        <f aca="false">Feuil1!I456</f>
        <v>Chaussures Alpin </v>
      </c>
      <c r="J456" s="3" t="str">
        <f aca="false">Feuil1!J456</f>
        <v>salomon quest</v>
      </c>
      <c r="K456" s="3" t="str">
        <f aca="false">Feuil1!K456</f>
        <v>36 (EU) / 23 (MP)</v>
      </c>
      <c r="L456" s="3" t="n">
        <f aca="false">Feuil1!L456</f>
        <v>35</v>
      </c>
      <c r="M456" s="1" t="s">
        <v>17</v>
      </c>
      <c r="N456" s="1" t="s">
        <v>18</v>
      </c>
      <c r="O456" s="1" t="s">
        <v>19</v>
      </c>
      <c r="P456" s="4" t="n">
        <v>45973.466099537</v>
      </c>
      <c r="Q456" s="4" t="n">
        <v>45973.466099537</v>
      </c>
    </row>
    <row r="457" customFormat="false" ht="15" hidden="false" customHeight="false" outlineLevel="0" collapsed="false">
      <c r="A457" s="1" t="str">
        <f aca="false">Feuil1!H457</f>
        <v>54202</v>
      </c>
      <c r="B457" s="1" t="s">
        <v>17</v>
      </c>
      <c r="C457" s="1" t="s">
        <v>17</v>
      </c>
      <c r="D457" s="1" t="s">
        <v>17</v>
      </c>
      <c r="E457" s="1" t="s">
        <v>17</v>
      </c>
      <c r="F457" s="1" t="s">
        <v>17</v>
      </c>
      <c r="G457" s="1" t="s">
        <v>17</v>
      </c>
      <c r="H457" s="1" t="s">
        <v>17</v>
      </c>
      <c r="I457" s="3" t="str">
        <f aca="false">Feuil1!I457</f>
        <v>Chaussures Alpin </v>
      </c>
      <c r="J457" s="3" t="str">
        <f aca="false">Feuil1!J457</f>
        <v>head raptor</v>
      </c>
      <c r="K457" s="3" t="str">
        <f aca="false">Feuil1!K457</f>
        <v>36 (EU) / 23 (MP)</v>
      </c>
      <c r="L457" s="3" t="n">
        <f aca="false">Feuil1!L457</f>
        <v>35</v>
      </c>
      <c r="M457" s="1" t="s">
        <v>17</v>
      </c>
      <c r="N457" s="1" t="s">
        <v>18</v>
      </c>
      <c r="O457" s="1" t="s">
        <v>19</v>
      </c>
      <c r="P457" s="4" t="n">
        <v>45973.466099537</v>
      </c>
      <c r="Q457" s="4" t="n">
        <v>45973.466099537</v>
      </c>
    </row>
    <row r="458" customFormat="false" ht="15" hidden="false" customHeight="false" outlineLevel="0" collapsed="false">
      <c r="A458" s="1" t="str">
        <f aca="false">Feuil1!H458</f>
        <v>54203</v>
      </c>
      <c r="B458" s="1" t="s">
        <v>17</v>
      </c>
      <c r="C458" s="1" t="s">
        <v>17</v>
      </c>
      <c r="D458" s="1" t="s">
        <v>17</v>
      </c>
      <c r="E458" s="1" t="s">
        <v>17</v>
      </c>
      <c r="F458" s="1" t="s">
        <v>17</v>
      </c>
      <c r="G458" s="1" t="s">
        <v>17</v>
      </c>
      <c r="H458" s="1" t="s">
        <v>17</v>
      </c>
      <c r="I458" s="3" t="str">
        <f aca="false">Feuil1!I458</f>
        <v>Chaussures Alpin </v>
      </c>
      <c r="J458" s="3" t="str">
        <f aca="false">Feuil1!J458</f>
        <v>roxa yeti</v>
      </c>
      <c r="K458" s="3" t="str">
        <f aca="false">Feuil1!K458</f>
        <v>36 (EU) / 23 (MP)</v>
      </c>
      <c r="L458" s="3" t="n">
        <f aca="false">Feuil1!L458</f>
        <v>35</v>
      </c>
      <c r="M458" s="1" t="s">
        <v>17</v>
      </c>
      <c r="N458" s="1" t="s">
        <v>18</v>
      </c>
      <c r="O458" s="1" t="s">
        <v>19</v>
      </c>
      <c r="P458" s="4" t="n">
        <v>45973.466099537</v>
      </c>
      <c r="Q458" s="4" t="n">
        <v>45973.466099537</v>
      </c>
    </row>
    <row r="459" customFormat="false" ht="15" hidden="false" customHeight="false" outlineLevel="0" collapsed="false">
      <c r="A459" s="1" t="str">
        <f aca="false">Feuil1!H459</f>
        <v>54204</v>
      </c>
      <c r="B459" s="1" t="s">
        <v>17</v>
      </c>
      <c r="C459" s="1" t="s">
        <v>17</v>
      </c>
      <c r="D459" s="1" t="s">
        <v>17</v>
      </c>
      <c r="E459" s="1" t="s">
        <v>17</v>
      </c>
      <c r="F459" s="1" t="s">
        <v>17</v>
      </c>
      <c r="G459" s="1" t="s">
        <v>17</v>
      </c>
      <c r="H459" s="1" t="s">
        <v>17</v>
      </c>
      <c r="I459" s="3" t="str">
        <f aca="false">Feuil1!I459</f>
        <v>Chaussures Alpin </v>
      </c>
      <c r="J459" s="3" t="str">
        <f aca="false">Feuil1!J459</f>
        <v>lange rs</v>
      </c>
      <c r="K459" s="3" t="str">
        <f aca="false">Feuil1!K459</f>
        <v>36 (EU) / 23 (MP)</v>
      </c>
      <c r="L459" s="3" t="n">
        <f aca="false">Feuil1!L459</f>
        <v>35</v>
      </c>
      <c r="M459" s="1" t="s">
        <v>17</v>
      </c>
      <c r="N459" s="1" t="s">
        <v>18</v>
      </c>
      <c r="O459" s="1" t="s">
        <v>19</v>
      </c>
      <c r="P459" s="4" t="n">
        <v>45973.466099537</v>
      </c>
      <c r="Q459" s="4" t="n">
        <v>45973.466099537</v>
      </c>
    </row>
    <row r="460" customFormat="false" ht="15" hidden="false" customHeight="false" outlineLevel="0" collapsed="false">
      <c r="A460" s="1" t="str">
        <f aca="false">Feuil1!H460</f>
        <v>54205</v>
      </c>
      <c r="B460" s="1" t="s">
        <v>17</v>
      </c>
      <c r="C460" s="1" t="s">
        <v>17</v>
      </c>
      <c r="D460" s="1" t="s">
        <v>17</v>
      </c>
      <c r="E460" s="1" t="s">
        <v>17</v>
      </c>
      <c r="F460" s="1" t="s">
        <v>17</v>
      </c>
      <c r="G460" s="1" t="s">
        <v>17</v>
      </c>
      <c r="H460" s="1" t="s">
        <v>17</v>
      </c>
      <c r="I460" s="3" t="str">
        <f aca="false">Feuil1!I460</f>
        <v>Chaussures Alpin </v>
      </c>
      <c r="J460" s="3" t="str">
        <f aca="false">Feuil1!J460</f>
        <v>lange rs</v>
      </c>
      <c r="K460" s="3" t="str">
        <f aca="false">Feuil1!K460</f>
        <v>36 (EU) / 23 (MP)</v>
      </c>
      <c r="L460" s="3" t="n">
        <f aca="false">Feuil1!L460</f>
        <v>35</v>
      </c>
      <c r="M460" s="1" t="s">
        <v>17</v>
      </c>
      <c r="N460" s="1" t="s">
        <v>18</v>
      </c>
      <c r="O460" s="1" t="s">
        <v>19</v>
      </c>
      <c r="P460" s="4" t="n">
        <v>45973.466099537</v>
      </c>
      <c r="Q460" s="4" t="n">
        <v>45973.466099537</v>
      </c>
    </row>
    <row r="461" customFormat="false" ht="15" hidden="false" customHeight="false" outlineLevel="0" collapsed="false">
      <c r="A461" s="1" t="str">
        <f aca="false">Feuil1!H461</f>
        <v>54206</v>
      </c>
      <c r="B461" s="1" t="s">
        <v>17</v>
      </c>
      <c r="C461" s="1" t="s">
        <v>17</v>
      </c>
      <c r="D461" s="1" t="s">
        <v>17</v>
      </c>
      <c r="E461" s="1" t="s">
        <v>17</v>
      </c>
      <c r="F461" s="1" t="s">
        <v>17</v>
      </c>
      <c r="G461" s="1" t="s">
        <v>17</v>
      </c>
      <c r="H461" s="1" t="s">
        <v>17</v>
      </c>
      <c r="I461" s="3" t="str">
        <f aca="false">Feuil1!I461</f>
        <v>Chaussures Alpin </v>
      </c>
      <c r="J461" s="3" t="str">
        <f aca="false">Feuil1!J461</f>
        <v>lange rs</v>
      </c>
      <c r="K461" s="3" t="str">
        <f aca="false">Feuil1!K461</f>
        <v>36 (EU) / 23 (MP)</v>
      </c>
      <c r="L461" s="3" t="n">
        <f aca="false">Feuil1!L461</f>
        <v>35</v>
      </c>
      <c r="M461" s="1" t="s">
        <v>17</v>
      </c>
      <c r="N461" s="1" t="s">
        <v>18</v>
      </c>
      <c r="O461" s="1" t="s">
        <v>19</v>
      </c>
      <c r="P461" s="4" t="n">
        <v>45973.466099537</v>
      </c>
      <c r="Q461" s="4" t="n">
        <v>45973.466099537</v>
      </c>
    </row>
    <row r="462" customFormat="false" ht="15" hidden="false" customHeight="false" outlineLevel="0" collapsed="false">
      <c r="A462" s="1" t="str">
        <f aca="false">Feuil1!H462</f>
        <v>54207</v>
      </c>
      <c r="B462" s="1" t="s">
        <v>17</v>
      </c>
      <c r="C462" s="1" t="s">
        <v>17</v>
      </c>
      <c r="D462" s="1" t="s">
        <v>17</v>
      </c>
      <c r="E462" s="1" t="s">
        <v>17</v>
      </c>
      <c r="F462" s="1" t="s">
        <v>17</v>
      </c>
      <c r="G462" s="1" t="s">
        <v>17</v>
      </c>
      <c r="H462" s="1" t="s">
        <v>17</v>
      </c>
      <c r="I462" s="3" t="str">
        <f aca="false">Feuil1!I462</f>
        <v>Chaussures Alpin </v>
      </c>
      <c r="J462" s="3" t="str">
        <f aca="false">Feuil1!J462</f>
        <v>tecnica cochise</v>
      </c>
      <c r="K462" s="3" t="str">
        <f aca="false">Feuil1!K462</f>
        <v>36 (EU) / 23 (MP)</v>
      </c>
      <c r="L462" s="3" t="n">
        <f aca="false">Feuil1!L462</f>
        <v>35</v>
      </c>
      <c r="M462" s="1" t="s">
        <v>17</v>
      </c>
      <c r="N462" s="1" t="s">
        <v>18</v>
      </c>
      <c r="O462" s="1" t="s">
        <v>19</v>
      </c>
      <c r="P462" s="4" t="n">
        <v>45973.466099537</v>
      </c>
      <c r="Q462" s="4" t="n">
        <v>45973.466099537</v>
      </c>
    </row>
    <row r="463" customFormat="false" ht="15" hidden="false" customHeight="false" outlineLevel="0" collapsed="false">
      <c r="A463" s="1" t="str">
        <f aca="false">Feuil1!H463</f>
        <v>54208</v>
      </c>
      <c r="B463" s="1" t="s">
        <v>17</v>
      </c>
      <c r="C463" s="1" t="s">
        <v>17</v>
      </c>
      <c r="D463" s="1" t="s">
        <v>17</v>
      </c>
      <c r="E463" s="1" t="s">
        <v>17</v>
      </c>
      <c r="F463" s="1" t="s">
        <v>17</v>
      </c>
      <c r="G463" s="1" t="s">
        <v>17</v>
      </c>
      <c r="H463" s="1" t="s">
        <v>17</v>
      </c>
      <c r="I463" s="3" t="str">
        <f aca="false">Feuil1!I463</f>
        <v>Chaussures Alpin </v>
      </c>
      <c r="J463" s="3" t="str">
        <f aca="false">Feuil1!J463</f>
        <v>tecnica cochise</v>
      </c>
      <c r="K463" s="3" t="str">
        <f aca="false">Feuil1!K463</f>
        <v>36 (EU) / 23 (MP)</v>
      </c>
      <c r="L463" s="3" t="n">
        <f aca="false">Feuil1!L463</f>
        <v>35</v>
      </c>
      <c r="M463" s="1" t="s">
        <v>17</v>
      </c>
      <c r="N463" s="1" t="s">
        <v>18</v>
      </c>
      <c r="O463" s="1" t="s">
        <v>19</v>
      </c>
      <c r="P463" s="4" t="n">
        <v>45973.466099537</v>
      </c>
      <c r="Q463" s="4" t="n">
        <v>45973.466099537</v>
      </c>
    </row>
    <row r="464" customFormat="false" ht="15" hidden="false" customHeight="false" outlineLevel="0" collapsed="false">
      <c r="A464" s="1" t="str">
        <f aca="false">Feuil1!H464</f>
        <v>54209</v>
      </c>
      <c r="B464" s="1" t="s">
        <v>17</v>
      </c>
      <c r="C464" s="1" t="s">
        <v>17</v>
      </c>
      <c r="D464" s="1" t="s">
        <v>17</v>
      </c>
      <c r="E464" s="1" t="s">
        <v>17</v>
      </c>
      <c r="F464" s="1" t="s">
        <v>17</v>
      </c>
      <c r="G464" s="1" t="s">
        <v>17</v>
      </c>
      <c r="H464" s="1" t="s">
        <v>17</v>
      </c>
      <c r="I464" s="3" t="str">
        <f aca="false">Feuil1!I464</f>
        <v>Chaussures Alpin </v>
      </c>
      <c r="J464" s="3" t="str">
        <f aca="false">Feuil1!J464</f>
        <v>rossignol hero</v>
      </c>
      <c r="K464" s="3" t="str">
        <f aca="false">Feuil1!K464</f>
        <v>36 (EU) / 23 (MP)</v>
      </c>
      <c r="L464" s="3" t="n">
        <f aca="false">Feuil1!L464</f>
        <v>35</v>
      </c>
      <c r="M464" s="1" t="s">
        <v>17</v>
      </c>
      <c r="N464" s="1" t="s">
        <v>18</v>
      </c>
      <c r="O464" s="1" t="s">
        <v>19</v>
      </c>
      <c r="P464" s="4" t="n">
        <v>45973.466099537</v>
      </c>
      <c r="Q464" s="4" t="n">
        <v>45973.466099537</v>
      </c>
    </row>
    <row r="465" customFormat="false" ht="15" hidden="false" customHeight="false" outlineLevel="0" collapsed="false">
      <c r="A465" s="1" t="str">
        <f aca="false">Feuil1!H465</f>
        <v>54210</v>
      </c>
      <c r="B465" s="1" t="s">
        <v>17</v>
      </c>
      <c r="C465" s="1" t="s">
        <v>17</v>
      </c>
      <c r="D465" s="1" t="s">
        <v>17</v>
      </c>
      <c r="E465" s="1" t="s">
        <v>17</v>
      </c>
      <c r="F465" s="1" t="s">
        <v>17</v>
      </c>
      <c r="G465" s="1" t="s">
        <v>17</v>
      </c>
      <c r="H465" s="1" t="s">
        <v>17</v>
      </c>
      <c r="I465" s="3" t="str">
        <f aca="false">Feuil1!I465</f>
        <v>Chaussures Alpin </v>
      </c>
      <c r="J465" s="3" t="str">
        <f aca="false">Feuil1!J465</f>
        <v>rossignol hero</v>
      </c>
      <c r="K465" s="3" t="str">
        <f aca="false">Feuil1!K465</f>
        <v>36 (EU) / 23 (MP)</v>
      </c>
      <c r="L465" s="3" t="n">
        <f aca="false">Feuil1!L465</f>
        <v>35</v>
      </c>
      <c r="M465" s="1" t="s">
        <v>17</v>
      </c>
      <c r="N465" s="1" t="s">
        <v>18</v>
      </c>
      <c r="O465" s="1" t="s">
        <v>19</v>
      </c>
      <c r="P465" s="4" t="n">
        <v>45973.466099537</v>
      </c>
      <c r="Q465" s="4" t="n">
        <v>45973.466099537</v>
      </c>
    </row>
    <row r="466" customFormat="false" ht="15" hidden="false" customHeight="false" outlineLevel="0" collapsed="false">
      <c r="A466" s="1" t="str">
        <f aca="false">Feuil1!H466</f>
        <v>54211</v>
      </c>
      <c r="B466" s="1" t="s">
        <v>17</v>
      </c>
      <c r="C466" s="1" t="s">
        <v>17</v>
      </c>
      <c r="D466" s="1" t="s">
        <v>17</v>
      </c>
      <c r="E466" s="1" t="s">
        <v>17</v>
      </c>
      <c r="F466" s="1" t="s">
        <v>17</v>
      </c>
      <c r="G466" s="1" t="s">
        <v>17</v>
      </c>
      <c r="H466" s="1" t="s">
        <v>17</v>
      </c>
      <c r="I466" s="3" t="str">
        <f aca="false">Feuil1!I466</f>
        <v>Chaussures Alpin </v>
      </c>
      <c r="J466" s="3" t="str">
        <f aca="false">Feuil1!J466</f>
        <v>nordica gp</v>
      </c>
      <c r="K466" s="3" t="str">
        <f aca="false">Feuil1!K466</f>
        <v>36 (EU) / 23 (MP)</v>
      </c>
      <c r="L466" s="3" t="n">
        <f aca="false">Feuil1!L466</f>
        <v>29</v>
      </c>
      <c r="M466" s="1" t="s">
        <v>17</v>
      </c>
      <c r="N466" s="1" t="s">
        <v>18</v>
      </c>
      <c r="O466" s="1" t="s">
        <v>19</v>
      </c>
      <c r="P466" s="4" t="n">
        <v>45973.466099537</v>
      </c>
      <c r="Q466" s="4" t="n">
        <v>45973.466099537</v>
      </c>
    </row>
    <row r="467" customFormat="false" ht="15" hidden="false" customHeight="false" outlineLevel="0" collapsed="false">
      <c r="A467" s="1" t="str">
        <f aca="false">Feuil1!H467</f>
        <v>54212</v>
      </c>
      <c r="B467" s="1" t="s">
        <v>17</v>
      </c>
      <c r="C467" s="1" t="s">
        <v>17</v>
      </c>
      <c r="D467" s="1" t="s">
        <v>17</v>
      </c>
      <c r="E467" s="1" t="s">
        <v>17</v>
      </c>
      <c r="F467" s="1" t="s">
        <v>17</v>
      </c>
      <c r="G467" s="1" t="s">
        <v>17</v>
      </c>
      <c r="H467" s="1" t="s">
        <v>17</v>
      </c>
      <c r="I467" s="3" t="str">
        <f aca="false">Feuil1!I467</f>
        <v>Chaussures Alpin </v>
      </c>
      <c r="J467" s="3" t="str">
        <f aca="false">Feuil1!J467</f>
        <v>tecnica cochise</v>
      </c>
      <c r="K467" s="3" t="str">
        <f aca="false">Feuil1!K467</f>
        <v>36 (EU) / 23 (MP)</v>
      </c>
      <c r="L467" s="3" t="n">
        <f aca="false">Feuil1!L467</f>
        <v>35</v>
      </c>
      <c r="M467" s="1" t="s">
        <v>17</v>
      </c>
      <c r="N467" s="1" t="s">
        <v>18</v>
      </c>
      <c r="O467" s="1" t="s">
        <v>19</v>
      </c>
      <c r="P467" s="4" t="n">
        <v>45973.466099537</v>
      </c>
      <c r="Q467" s="4" t="n">
        <v>45973.466099537</v>
      </c>
    </row>
    <row r="468" customFormat="false" ht="15" hidden="false" customHeight="false" outlineLevel="0" collapsed="false">
      <c r="A468" s="1" t="str">
        <f aca="false">Feuil1!H468</f>
        <v>54213</v>
      </c>
      <c r="B468" s="1" t="s">
        <v>17</v>
      </c>
      <c r="C468" s="1" t="s">
        <v>17</v>
      </c>
      <c r="D468" s="1" t="s">
        <v>17</v>
      </c>
      <c r="E468" s="1" t="s">
        <v>17</v>
      </c>
      <c r="F468" s="1" t="s">
        <v>17</v>
      </c>
      <c r="G468" s="1" t="s">
        <v>17</v>
      </c>
      <c r="H468" s="1" t="s">
        <v>17</v>
      </c>
      <c r="I468" s="3" t="str">
        <f aca="false">Feuil1!I468</f>
        <v>Chaussures Alpin </v>
      </c>
      <c r="J468" s="3" t="str">
        <f aca="false">Feuil1!J468</f>
        <v>tecnica cochise</v>
      </c>
      <c r="K468" s="3" t="str">
        <f aca="false">Feuil1!K468</f>
        <v>36 (EU) / 23 (MP)</v>
      </c>
      <c r="L468" s="3" t="n">
        <f aca="false">Feuil1!L468</f>
        <v>35</v>
      </c>
      <c r="M468" s="1" t="s">
        <v>17</v>
      </c>
      <c r="N468" s="1" t="s">
        <v>18</v>
      </c>
      <c r="O468" s="1" t="s">
        <v>19</v>
      </c>
      <c r="P468" s="4" t="n">
        <v>45973.466099537</v>
      </c>
      <c r="Q468" s="4" t="n">
        <v>45973.466099537</v>
      </c>
    </row>
    <row r="469" customFormat="false" ht="15" hidden="false" customHeight="false" outlineLevel="0" collapsed="false">
      <c r="A469" s="1" t="str">
        <f aca="false">Feuil1!H469</f>
        <v>54214</v>
      </c>
      <c r="B469" s="1" t="s">
        <v>17</v>
      </c>
      <c r="C469" s="1" t="s">
        <v>17</v>
      </c>
      <c r="D469" s="1" t="s">
        <v>17</v>
      </c>
      <c r="E469" s="1" t="s">
        <v>17</v>
      </c>
      <c r="F469" s="1" t="s">
        <v>17</v>
      </c>
      <c r="G469" s="1" t="s">
        <v>17</v>
      </c>
      <c r="H469" s="1" t="s">
        <v>17</v>
      </c>
      <c r="I469" s="3" t="str">
        <f aca="false">Feuil1!I469</f>
        <v>Chaussures Alpin </v>
      </c>
      <c r="J469" s="3" t="str">
        <f aca="false">Feuil1!J469</f>
        <v>tecnica cochise</v>
      </c>
      <c r="K469" s="3" t="str">
        <f aca="false">Feuil1!K469</f>
        <v>35 (EU) / 22 (MP)</v>
      </c>
      <c r="L469" s="3" t="n">
        <f aca="false">Feuil1!L469</f>
        <v>35</v>
      </c>
      <c r="M469" s="1" t="s">
        <v>17</v>
      </c>
      <c r="N469" s="1" t="s">
        <v>18</v>
      </c>
      <c r="O469" s="1" t="s">
        <v>19</v>
      </c>
      <c r="P469" s="4" t="n">
        <v>45973.466099537</v>
      </c>
      <c r="Q469" s="4" t="n">
        <v>45973.466099537</v>
      </c>
    </row>
    <row r="470" customFormat="false" ht="15" hidden="false" customHeight="false" outlineLevel="0" collapsed="false">
      <c r="A470" s="1" t="str">
        <f aca="false">Feuil1!H470</f>
        <v>54215</v>
      </c>
      <c r="B470" s="1" t="s">
        <v>17</v>
      </c>
      <c r="C470" s="1" t="s">
        <v>17</v>
      </c>
      <c r="D470" s="1" t="s">
        <v>17</v>
      </c>
      <c r="E470" s="1" t="s">
        <v>17</v>
      </c>
      <c r="F470" s="1" t="s">
        <v>17</v>
      </c>
      <c r="G470" s="1" t="s">
        <v>17</v>
      </c>
      <c r="H470" s="1" t="s">
        <v>17</v>
      </c>
      <c r="I470" s="3" t="str">
        <f aca="false">Feuil1!I470</f>
        <v>Chaussures Alpin </v>
      </c>
      <c r="J470" s="3" t="str">
        <f aca="false">Feuil1!J470</f>
        <v>lange rs</v>
      </c>
      <c r="K470" s="3" t="str">
        <f aca="false">Feuil1!K470</f>
        <v>35 (EU) / 22 (MP)</v>
      </c>
      <c r="L470" s="3" t="n">
        <f aca="false">Feuil1!L470</f>
        <v>29</v>
      </c>
      <c r="M470" s="1" t="s">
        <v>17</v>
      </c>
      <c r="N470" s="1" t="s">
        <v>18</v>
      </c>
      <c r="O470" s="1" t="s">
        <v>19</v>
      </c>
      <c r="P470" s="4" t="n">
        <v>45973.466099537</v>
      </c>
      <c r="Q470" s="4" t="n">
        <v>45973.466099537</v>
      </c>
    </row>
    <row r="471" customFormat="false" ht="15" hidden="false" customHeight="false" outlineLevel="0" collapsed="false">
      <c r="A471" s="1" t="str">
        <f aca="false">Feuil1!H471</f>
        <v>54216</v>
      </c>
      <c r="B471" s="1" t="s">
        <v>17</v>
      </c>
      <c r="C471" s="1" t="s">
        <v>17</v>
      </c>
      <c r="D471" s="1" t="s">
        <v>17</v>
      </c>
      <c r="E471" s="1" t="s">
        <v>17</v>
      </c>
      <c r="F471" s="1" t="s">
        <v>17</v>
      </c>
      <c r="G471" s="1" t="s">
        <v>17</v>
      </c>
      <c r="H471" s="1" t="s">
        <v>17</v>
      </c>
      <c r="I471" s="3" t="str">
        <f aca="false">Feuil1!I471</f>
        <v>Chaussures Alpin </v>
      </c>
      <c r="J471" s="3" t="str">
        <f aca="false">Feuil1!J471</f>
        <v>lange rs</v>
      </c>
      <c r="K471" s="3" t="str">
        <f aca="false">Feuil1!K471</f>
        <v>35 (EU) / 22 (MP)</v>
      </c>
      <c r="L471" s="3" t="n">
        <f aca="false">Feuil1!L471</f>
        <v>29</v>
      </c>
      <c r="M471" s="1" t="s">
        <v>17</v>
      </c>
      <c r="N471" s="1" t="s">
        <v>18</v>
      </c>
      <c r="O471" s="1" t="s">
        <v>19</v>
      </c>
      <c r="P471" s="4" t="n">
        <v>45973.466099537</v>
      </c>
      <c r="Q471" s="4" t="n">
        <v>45973.466099537</v>
      </c>
    </row>
    <row r="472" customFormat="false" ht="15" hidden="false" customHeight="false" outlineLevel="0" collapsed="false">
      <c r="A472" s="1" t="str">
        <f aca="false">Feuil1!H472</f>
        <v>54217</v>
      </c>
      <c r="B472" s="1" t="s">
        <v>17</v>
      </c>
      <c r="C472" s="1" t="s">
        <v>17</v>
      </c>
      <c r="D472" s="1" t="s">
        <v>17</v>
      </c>
      <c r="E472" s="1" t="s">
        <v>17</v>
      </c>
      <c r="F472" s="1" t="s">
        <v>17</v>
      </c>
      <c r="G472" s="1" t="s">
        <v>17</v>
      </c>
      <c r="H472" s="1" t="s">
        <v>17</v>
      </c>
      <c r="I472" s="3" t="str">
        <f aca="false">Feuil1!I472</f>
        <v>Chaussures Alpin </v>
      </c>
      <c r="J472" s="3" t="str">
        <f aca="false">Feuil1!J472</f>
        <v>lange rs</v>
      </c>
      <c r="K472" s="3" t="str">
        <f aca="false">Feuil1!K472</f>
        <v>35 (EU) / 22 (MP)</v>
      </c>
      <c r="L472" s="3" t="n">
        <f aca="false">Feuil1!L472</f>
        <v>29</v>
      </c>
      <c r="M472" s="1" t="s">
        <v>17</v>
      </c>
      <c r="N472" s="1" t="s">
        <v>18</v>
      </c>
      <c r="O472" s="1" t="s">
        <v>19</v>
      </c>
      <c r="P472" s="4" t="n">
        <v>45973.466099537</v>
      </c>
      <c r="Q472" s="4" t="n">
        <v>45973.466099537</v>
      </c>
    </row>
    <row r="473" customFormat="false" ht="15" hidden="false" customHeight="false" outlineLevel="0" collapsed="false">
      <c r="A473" s="1" t="str">
        <f aca="false">Feuil1!H473</f>
        <v>54218</v>
      </c>
      <c r="B473" s="1" t="s">
        <v>17</v>
      </c>
      <c r="C473" s="1" t="s">
        <v>17</v>
      </c>
      <c r="D473" s="1" t="s">
        <v>17</v>
      </c>
      <c r="E473" s="1" t="s">
        <v>17</v>
      </c>
      <c r="F473" s="1" t="s">
        <v>17</v>
      </c>
      <c r="G473" s="1" t="s">
        <v>17</v>
      </c>
      <c r="H473" s="1" t="s">
        <v>17</v>
      </c>
      <c r="I473" s="3" t="str">
        <f aca="false">Feuil1!I473</f>
        <v>Chaussures Alpin </v>
      </c>
      <c r="J473" s="3" t="str">
        <f aca="false">Feuil1!J473</f>
        <v>salomon max</v>
      </c>
      <c r="K473" s="3" t="str">
        <f aca="false">Feuil1!K473</f>
        <v>35 (EU) / 22 (MP)</v>
      </c>
      <c r="L473" s="3" t="n">
        <f aca="false">Feuil1!L473</f>
        <v>29</v>
      </c>
      <c r="M473" s="1" t="s">
        <v>17</v>
      </c>
      <c r="N473" s="1" t="s">
        <v>18</v>
      </c>
      <c r="O473" s="1" t="s">
        <v>19</v>
      </c>
      <c r="P473" s="4" t="n">
        <v>45973.466099537</v>
      </c>
      <c r="Q473" s="4" t="n">
        <v>45973.466099537</v>
      </c>
    </row>
    <row r="474" customFormat="false" ht="15" hidden="false" customHeight="false" outlineLevel="0" collapsed="false">
      <c r="A474" s="1" t="str">
        <f aca="false">Feuil1!H474</f>
        <v>54219</v>
      </c>
      <c r="B474" s="1" t="s">
        <v>17</v>
      </c>
      <c r="C474" s="1" t="s">
        <v>17</v>
      </c>
      <c r="D474" s="1" t="s">
        <v>17</v>
      </c>
      <c r="E474" s="1" t="s">
        <v>17</v>
      </c>
      <c r="F474" s="1" t="s">
        <v>17</v>
      </c>
      <c r="G474" s="1" t="s">
        <v>17</v>
      </c>
      <c r="H474" s="1" t="s">
        <v>17</v>
      </c>
      <c r="I474" s="3" t="str">
        <f aca="false">Feuil1!I474</f>
        <v>Chaussures Alpin </v>
      </c>
      <c r="J474" s="3" t="str">
        <f aca="false">Feuil1!J474</f>
        <v>tecnica cochise</v>
      </c>
      <c r="K474" s="3" t="str">
        <f aca="false">Feuil1!K474</f>
        <v>34 (EU) / 21 (MP)</v>
      </c>
      <c r="L474" s="3" t="n">
        <f aca="false">Feuil1!L474</f>
        <v>29</v>
      </c>
      <c r="M474" s="1" t="s">
        <v>17</v>
      </c>
      <c r="N474" s="1" t="s">
        <v>18</v>
      </c>
      <c r="O474" s="1" t="s">
        <v>19</v>
      </c>
      <c r="P474" s="4" t="n">
        <v>45973.466099537</v>
      </c>
      <c r="Q474" s="4" t="n">
        <v>45973.466099537</v>
      </c>
    </row>
    <row r="475" customFormat="false" ht="15" hidden="false" customHeight="false" outlineLevel="0" collapsed="false">
      <c r="A475" s="1" t="str">
        <f aca="false">Feuil1!H475</f>
        <v>54220</v>
      </c>
      <c r="B475" s="1" t="s">
        <v>17</v>
      </c>
      <c r="C475" s="1" t="s">
        <v>17</v>
      </c>
      <c r="D475" s="1" t="s">
        <v>17</v>
      </c>
      <c r="E475" s="1" t="s">
        <v>17</v>
      </c>
      <c r="F475" s="1" t="s">
        <v>17</v>
      </c>
      <c r="G475" s="1" t="s">
        <v>17</v>
      </c>
      <c r="H475" s="1" t="s">
        <v>17</v>
      </c>
      <c r="I475" s="3" t="str">
        <f aca="false">Feuil1!I475</f>
        <v>Chaussures Alpin </v>
      </c>
      <c r="J475" s="3" t="str">
        <f aca="false">Feuil1!J475</f>
        <v>tecnica cochise</v>
      </c>
      <c r="K475" s="3" t="str">
        <f aca="false">Feuil1!K475</f>
        <v>34 (EU) / 21 (MP)</v>
      </c>
      <c r="L475" s="3" t="n">
        <f aca="false">Feuil1!L475</f>
        <v>29</v>
      </c>
      <c r="M475" s="1" t="s">
        <v>17</v>
      </c>
      <c r="N475" s="1" t="s">
        <v>18</v>
      </c>
      <c r="O475" s="1" t="s">
        <v>19</v>
      </c>
      <c r="P475" s="4" t="n">
        <v>45973.466099537</v>
      </c>
      <c r="Q475" s="4" t="n">
        <v>45973.466099537</v>
      </c>
    </row>
    <row r="476" customFormat="false" ht="15" hidden="false" customHeight="false" outlineLevel="0" collapsed="false">
      <c r="A476" s="1" t="str">
        <f aca="false">Feuil1!H476</f>
        <v>54221</v>
      </c>
      <c r="B476" s="1" t="s">
        <v>17</v>
      </c>
      <c r="C476" s="1" t="s">
        <v>17</v>
      </c>
      <c r="D476" s="1" t="s">
        <v>17</v>
      </c>
      <c r="E476" s="1" t="s">
        <v>17</v>
      </c>
      <c r="F476" s="1" t="s">
        <v>17</v>
      </c>
      <c r="G476" s="1" t="s">
        <v>17</v>
      </c>
      <c r="H476" s="1" t="s">
        <v>17</v>
      </c>
      <c r="I476" s="3" t="str">
        <f aca="false">Feuil1!I476</f>
        <v>Chaussures Alpin </v>
      </c>
      <c r="J476" s="3" t="str">
        <f aca="false">Feuil1!J476</f>
        <v>tecnica cochise</v>
      </c>
      <c r="K476" s="3" t="str">
        <f aca="false">Feuil1!K476</f>
        <v>35 (EU) / 22 (MP)</v>
      </c>
      <c r="L476" s="3" t="n">
        <f aca="false">Feuil1!L476</f>
        <v>29</v>
      </c>
      <c r="M476" s="1" t="s">
        <v>17</v>
      </c>
      <c r="N476" s="1" t="s">
        <v>18</v>
      </c>
      <c r="O476" s="1" t="s">
        <v>19</v>
      </c>
      <c r="P476" s="4" t="n">
        <v>45973.466099537</v>
      </c>
      <c r="Q476" s="4" t="n">
        <v>45973.466099537</v>
      </c>
    </row>
    <row r="477" customFormat="false" ht="15" hidden="false" customHeight="false" outlineLevel="0" collapsed="false">
      <c r="A477" s="1" t="str">
        <f aca="false">Feuil1!H477</f>
        <v>54222</v>
      </c>
      <c r="B477" s="1" t="s">
        <v>17</v>
      </c>
      <c r="C477" s="1" t="s">
        <v>17</v>
      </c>
      <c r="D477" s="1" t="s">
        <v>17</v>
      </c>
      <c r="E477" s="1" t="s">
        <v>17</v>
      </c>
      <c r="F477" s="1" t="s">
        <v>17</v>
      </c>
      <c r="G477" s="1" t="s">
        <v>17</v>
      </c>
      <c r="H477" s="1" t="s">
        <v>17</v>
      </c>
      <c r="I477" s="3" t="str">
        <f aca="false">Feuil1!I477</f>
        <v>Chaussures Alpin </v>
      </c>
      <c r="J477" s="3" t="str">
        <f aca="false">Feuil1!J477</f>
        <v>tecnica cochise</v>
      </c>
      <c r="K477" s="3" t="str">
        <f aca="false">Feuil1!K477</f>
        <v>35 (EU) / 22 (MP)</v>
      </c>
      <c r="L477" s="3" t="n">
        <f aca="false">Feuil1!L477</f>
        <v>29</v>
      </c>
      <c r="M477" s="1" t="s">
        <v>17</v>
      </c>
      <c r="N477" s="1" t="s">
        <v>18</v>
      </c>
      <c r="O477" s="1" t="s">
        <v>19</v>
      </c>
      <c r="P477" s="4" t="n">
        <v>45973.466099537</v>
      </c>
      <c r="Q477" s="4" t="n">
        <v>45973.466099537</v>
      </c>
    </row>
    <row r="478" customFormat="false" ht="15" hidden="false" customHeight="false" outlineLevel="0" collapsed="false">
      <c r="A478" s="1" t="str">
        <f aca="false">Feuil1!H478</f>
        <v>54223</v>
      </c>
      <c r="B478" s="1" t="s">
        <v>17</v>
      </c>
      <c r="C478" s="1" t="s">
        <v>17</v>
      </c>
      <c r="D478" s="1" t="s">
        <v>17</v>
      </c>
      <c r="E478" s="1" t="s">
        <v>17</v>
      </c>
      <c r="F478" s="1" t="s">
        <v>17</v>
      </c>
      <c r="G478" s="1" t="s">
        <v>17</v>
      </c>
      <c r="H478" s="1" t="s">
        <v>17</v>
      </c>
      <c r="I478" s="3" t="str">
        <f aca="false">Feuil1!I478</f>
        <v>Chaussures Alpin </v>
      </c>
      <c r="J478" s="3" t="str">
        <f aca="false">Feuil1!J478</f>
        <v>lange rs</v>
      </c>
      <c r="K478" s="3" t="str">
        <f aca="false">Feuil1!K478</f>
        <v>34 (EU) / 21 (MP)</v>
      </c>
      <c r="L478" s="3" t="n">
        <f aca="false">Feuil1!L478</f>
        <v>29</v>
      </c>
      <c r="M478" s="1" t="s">
        <v>17</v>
      </c>
      <c r="N478" s="1" t="s">
        <v>18</v>
      </c>
      <c r="O478" s="1" t="s">
        <v>19</v>
      </c>
      <c r="P478" s="4" t="n">
        <v>45973.466099537</v>
      </c>
      <c r="Q478" s="4" t="n">
        <v>45973.466099537</v>
      </c>
    </row>
    <row r="479" customFormat="false" ht="15" hidden="false" customHeight="false" outlineLevel="0" collapsed="false">
      <c r="A479" s="1" t="str">
        <f aca="false">Feuil1!H479</f>
        <v>54224</v>
      </c>
      <c r="B479" s="1" t="s">
        <v>17</v>
      </c>
      <c r="C479" s="1" t="s">
        <v>17</v>
      </c>
      <c r="D479" s="1" t="s">
        <v>17</v>
      </c>
      <c r="E479" s="1" t="s">
        <v>17</v>
      </c>
      <c r="F479" s="1" t="s">
        <v>17</v>
      </c>
      <c r="G479" s="1" t="s">
        <v>17</v>
      </c>
      <c r="H479" s="1" t="s">
        <v>17</v>
      </c>
      <c r="I479" s="3" t="str">
        <f aca="false">Feuil1!I479</f>
        <v>Chaussures Alpin </v>
      </c>
      <c r="J479" s="3" t="str">
        <f aca="false">Feuil1!J479</f>
        <v>lange rs</v>
      </c>
      <c r="K479" s="3" t="str">
        <f aca="false">Feuil1!K479</f>
        <v>34 (EU) / 21 (MP)</v>
      </c>
      <c r="L479" s="3" t="n">
        <f aca="false">Feuil1!L479</f>
        <v>29</v>
      </c>
      <c r="M479" s="1" t="s">
        <v>17</v>
      </c>
      <c r="N479" s="1" t="s">
        <v>18</v>
      </c>
      <c r="O479" s="1" t="s">
        <v>19</v>
      </c>
      <c r="P479" s="4" t="n">
        <v>45973.466099537</v>
      </c>
      <c r="Q479" s="4" t="n">
        <v>45973.466099537</v>
      </c>
    </row>
    <row r="480" customFormat="false" ht="15" hidden="false" customHeight="false" outlineLevel="0" collapsed="false">
      <c r="A480" s="1" t="str">
        <f aca="false">Feuil1!H480</f>
        <v>54225</v>
      </c>
      <c r="B480" s="1" t="s">
        <v>17</v>
      </c>
      <c r="C480" s="1" t="s">
        <v>17</v>
      </c>
      <c r="D480" s="1" t="s">
        <v>17</v>
      </c>
      <c r="E480" s="1" t="s">
        <v>17</v>
      </c>
      <c r="F480" s="1" t="s">
        <v>17</v>
      </c>
      <c r="G480" s="1" t="s">
        <v>17</v>
      </c>
      <c r="H480" s="1" t="s">
        <v>17</v>
      </c>
      <c r="I480" s="3" t="str">
        <f aca="false">Feuil1!I480</f>
        <v>Chaussures Alpin </v>
      </c>
      <c r="J480" s="3" t="str">
        <f aca="false">Feuil1!J480</f>
        <v>fischer jr</v>
      </c>
      <c r="K480" s="3" t="str">
        <f aca="false">Feuil1!K480</f>
        <v>35 (EU) / 22 (MP)</v>
      </c>
      <c r="L480" s="3" t="n">
        <f aca="false">Feuil1!L480</f>
        <v>29</v>
      </c>
      <c r="M480" s="1" t="s">
        <v>17</v>
      </c>
      <c r="N480" s="1" t="s">
        <v>18</v>
      </c>
      <c r="O480" s="1" t="s">
        <v>19</v>
      </c>
      <c r="P480" s="4" t="n">
        <v>45973.466099537</v>
      </c>
      <c r="Q480" s="4" t="n">
        <v>45973.466099537</v>
      </c>
    </row>
    <row r="481" customFormat="false" ht="15" hidden="false" customHeight="false" outlineLevel="0" collapsed="false">
      <c r="A481" s="1" t="str">
        <f aca="false">Feuil1!H481</f>
        <v>54226</v>
      </c>
      <c r="B481" s="1" t="s">
        <v>17</v>
      </c>
      <c r="C481" s="1" t="s">
        <v>17</v>
      </c>
      <c r="D481" s="1" t="s">
        <v>17</v>
      </c>
      <c r="E481" s="1" t="s">
        <v>17</v>
      </c>
      <c r="F481" s="1" t="s">
        <v>17</v>
      </c>
      <c r="G481" s="1" t="s">
        <v>17</v>
      </c>
      <c r="H481" s="1" t="s">
        <v>17</v>
      </c>
      <c r="I481" s="3" t="str">
        <f aca="false">Feuil1!I481</f>
        <v>Chaussures Alpin </v>
      </c>
      <c r="J481" s="3" t="str">
        <f aca="false">Feuil1!J481</f>
        <v>fischer jr</v>
      </c>
      <c r="K481" s="3" t="str">
        <f aca="false">Feuil1!K481</f>
        <v>34 (EU) / 21 (MP)</v>
      </c>
      <c r="L481" s="3" t="n">
        <f aca="false">Feuil1!L481</f>
        <v>29</v>
      </c>
      <c r="M481" s="1" t="s">
        <v>17</v>
      </c>
      <c r="N481" s="1" t="s">
        <v>18</v>
      </c>
      <c r="O481" s="1" t="s">
        <v>19</v>
      </c>
      <c r="P481" s="4" t="n">
        <v>45973.466099537</v>
      </c>
      <c r="Q481" s="4" t="n">
        <v>45973.466099537</v>
      </c>
    </row>
    <row r="482" customFormat="false" ht="15" hidden="false" customHeight="false" outlineLevel="0" collapsed="false">
      <c r="A482" s="1" t="str">
        <f aca="false">Feuil1!H482</f>
        <v>54227</v>
      </c>
      <c r="B482" s="1" t="s">
        <v>17</v>
      </c>
      <c r="C482" s="1" t="s">
        <v>17</v>
      </c>
      <c r="D482" s="1" t="s">
        <v>17</v>
      </c>
      <c r="E482" s="1" t="s">
        <v>17</v>
      </c>
      <c r="F482" s="1" t="s">
        <v>17</v>
      </c>
      <c r="G482" s="1" t="s">
        <v>17</v>
      </c>
      <c r="H482" s="1" t="s">
        <v>17</v>
      </c>
      <c r="I482" s="3" t="str">
        <f aca="false">Feuil1!I482</f>
        <v>Chaussures Alpin </v>
      </c>
      <c r="J482" s="3" t="str">
        <f aca="false">Feuil1!J482</f>
        <v>tecnica cochise</v>
      </c>
      <c r="K482" s="3" t="str">
        <f aca="false">Feuil1!K482</f>
        <v>35 (EU) / 22 (MP)</v>
      </c>
      <c r="L482" s="3" t="n">
        <f aca="false">Feuil1!L482</f>
        <v>29</v>
      </c>
      <c r="M482" s="1" t="s">
        <v>17</v>
      </c>
      <c r="N482" s="1" t="s">
        <v>18</v>
      </c>
      <c r="O482" s="1" t="s">
        <v>19</v>
      </c>
      <c r="P482" s="4" t="n">
        <v>45973.466099537</v>
      </c>
      <c r="Q482" s="4" t="n">
        <v>45973.466099537</v>
      </c>
    </row>
    <row r="483" customFormat="false" ht="15" hidden="false" customHeight="false" outlineLevel="0" collapsed="false">
      <c r="A483" s="1" t="str">
        <f aca="false">Feuil1!H483</f>
        <v>54228</v>
      </c>
      <c r="B483" s="1" t="s">
        <v>17</v>
      </c>
      <c r="C483" s="1" t="s">
        <v>17</v>
      </c>
      <c r="D483" s="1" t="s">
        <v>17</v>
      </c>
      <c r="E483" s="1" t="s">
        <v>17</v>
      </c>
      <c r="F483" s="1" t="s">
        <v>17</v>
      </c>
      <c r="G483" s="1" t="s">
        <v>17</v>
      </c>
      <c r="H483" s="1" t="s">
        <v>17</v>
      </c>
      <c r="I483" s="3" t="str">
        <f aca="false">Feuil1!I483</f>
        <v>Chaussures Alpin </v>
      </c>
      <c r="J483" s="3" t="str">
        <f aca="false">Feuil1!J483</f>
        <v>tecnica cochise</v>
      </c>
      <c r="K483" s="3" t="str">
        <f aca="false">Feuil1!K483</f>
        <v>35 (EU) / 22 (MP)</v>
      </c>
      <c r="L483" s="3" t="n">
        <f aca="false">Feuil1!L483</f>
        <v>29</v>
      </c>
      <c r="M483" s="1" t="s">
        <v>17</v>
      </c>
      <c r="N483" s="1" t="s">
        <v>18</v>
      </c>
      <c r="O483" s="1" t="s">
        <v>19</v>
      </c>
      <c r="P483" s="4" t="n">
        <v>45973.466099537</v>
      </c>
      <c r="Q483" s="4" t="n">
        <v>45973.466099537</v>
      </c>
    </row>
    <row r="484" customFormat="false" ht="15" hidden="false" customHeight="false" outlineLevel="0" collapsed="false">
      <c r="A484" s="1" t="str">
        <f aca="false">Feuil1!H484</f>
        <v>54229</v>
      </c>
      <c r="B484" s="1" t="s">
        <v>17</v>
      </c>
      <c r="C484" s="1" t="s">
        <v>17</v>
      </c>
      <c r="D484" s="1" t="s">
        <v>17</v>
      </c>
      <c r="E484" s="1" t="s">
        <v>17</v>
      </c>
      <c r="F484" s="1" t="s">
        <v>17</v>
      </c>
      <c r="G484" s="1" t="s">
        <v>17</v>
      </c>
      <c r="H484" s="1" t="s">
        <v>17</v>
      </c>
      <c r="I484" s="3" t="str">
        <f aca="false">Feuil1!I484</f>
        <v>Chaussures Alpin </v>
      </c>
      <c r="J484" s="3" t="str">
        <f aca="false">Feuil1!J484</f>
        <v>salomon max</v>
      </c>
      <c r="K484" s="3" t="str">
        <f aca="false">Feuil1!K484</f>
        <v>33 (EU) / 21 (MP)</v>
      </c>
      <c r="L484" s="3" t="n">
        <f aca="false">Feuil1!L484</f>
        <v>29</v>
      </c>
      <c r="M484" s="1" t="s">
        <v>17</v>
      </c>
      <c r="N484" s="1" t="s">
        <v>18</v>
      </c>
      <c r="O484" s="1" t="s">
        <v>19</v>
      </c>
      <c r="P484" s="4" t="n">
        <v>45973.466099537</v>
      </c>
      <c r="Q484" s="4" t="n">
        <v>45973.466099537</v>
      </c>
    </row>
    <row r="485" customFormat="false" ht="15" hidden="false" customHeight="false" outlineLevel="0" collapsed="false">
      <c r="A485" s="1" t="str">
        <f aca="false">Feuil1!H485</f>
        <v>54230</v>
      </c>
      <c r="B485" s="1" t="s">
        <v>17</v>
      </c>
      <c r="C485" s="1" t="s">
        <v>17</v>
      </c>
      <c r="D485" s="1" t="s">
        <v>17</v>
      </c>
      <c r="E485" s="1" t="s">
        <v>17</v>
      </c>
      <c r="F485" s="1" t="s">
        <v>17</v>
      </c>
      <c r="G485" s="1" t="s">
        <v>17</v>
      </c>
      <c r="H485" s="1" t="s">
        <v>17</v>
      </c>
      <c r="I485" s="3" t="str">
        <f aca="false">Feuil1!I485</f>
        <v>Chaussures Alpin </v>
      </c>
      <c r="J485" s="3" t="str">
        <f aca="false">Feuil1!J485</f>
        <v>nordica jr</v>
      </c>
      <c r="K485" s="3" t="str">
        <f aca="false">Feuil1!K485</f>
        <v>33 (EU) / 21 (MP)</v>
      </c>
      <c r="L485" s="3" t="n">
        <f aca="false">Feuil1!L485</f>
        <v>29</v>
      </c>
      <c r="M485" s="1" t="s">
        <v>17</v>
      </c>
      <c r="N485" s="1" t="s">
        <v>18</v>
      </c>
      <c r="O485" s="1" t="s">
        <v>19</v>
      </c>
      <c r="P485" s="4" t="n">
        <v>45973.466099537</v>
      </c>
      <c r="Q485" s="4" t="n">
        <v>45973.466099537</v>
      </c>
    </row>
    <row r="486" customFormat="false" ht="15" hidden="false" customHeight="false" outlineLevel="0" collapsed="false">
      <c r="A486" s="1" t="str">
        <f aca="false">Feuil1!H486</f>
        <v>54231</v>
      </c>
      <c r="B486" s="1" t="s">
        <v>17</v>
      </c>
      <c r="C486" s="1" t="s">
        <v>17</v>
      </c>
      <c r="D486" s="1" t="s">
        <v>17</v>
      </c>
      <c r="E486" s="1" t="s">
        <v>17</v>
      </c>
      <c r="F486" s="1" t="s">
        <v>17</v>
      </c>
      <c r="G486" s="1" t="s">
        <v>17</v>
      </c>
      <c r="H486" s="1" t="s">
        <v>17</v>
      </c>
      <c r="I486" s="3" t="str">
        <f aca="false">Feuil1!I486</f>
        <v>Chaussures Alpin </v>
      </c>
      <c r="J486" s="3" t="str">
        <f aca="false">Feuil1!J486</f>
        <v>nordica jr</v>
      </c>
      <c r="K486" s="3" t="str">
        <f aca="false">Feuil1!K486</f>
        <v>33 (EU) / 21 (MP)</v>
      </c>
      <c r="L486" s="3" t="n">
        <f aca="false">Feuil1!L486</f>
        <v>29</v>
      </c>
      <c r="M486" s="1" t="s">
        <v>17</v>
      </c>
      <c r="N486" s="1" t="s">
        <v>18</v>
      </c>
      <c r="O486" s="1" t="s">
        <v>19</v>
      </c>
      <c r="P486" s="4" t="n">
        <v>45973.466099537</v>
      </c>
      <c r="Q486" s="4" t="n">
        <v>45973.466099537</v>
      </c>
    </row>
    <row r="487" customFormat="false" ht="15" hidden="false" customHeight="false" outlineLevel="0" collapsed="false">
      <c r="A487" s="1" t="str">
        <f aca="false">Feuil1!H487</f>
        <v>54232</v>
      </c>
      <c r="B487" s="1" t="s">
        <v>17</v>
      </c>
      <c r="C487" s="1" t="s">
        <v>17</v>
      </c>
      <c r="D487" s="1" t="s">
        <v>17</v>
      </c>
      <c r="E487" s="1" t="s">
        <v>17</v>
      </c>
      <c r="F487" s="1" t="s">
        <v>17</v>
      </c>
      <c r="G487" s="1" t="s">
        <v>17</v>
      </c>
      <c r="H487" s="1" t="s">
        <v>17</v>
      </c>
      <c r="I487" s="3" t="str">
        <f aca="false">Feuil1!I487</f>
        <v>Chaussures Alpin </v>
      </c>
      <c r="J487" s="3" t="str">
        <f aca="false">Feuil1!J487</f>
        <v>nordica gp</v>
      </c>
      <c r="K487" s="3" t="str">
        <f aca="false">Feuil1!K487</f>
        <v>35 (EU) / 22 (MP)</v>
      </c>
      <c r="L487" s="3" t="n">
        <f aca="false">Feuil1!L487</f>
        <v>29</v>
      </c>
      <c r="M487" s="1" t="s">
        <v>17</v>
      </c>
      <c r="N487" s="1" t="s">
        <v>18</v>
      </c>
      <c r="O487" s="1" t="s">
        <v>19</v>
      </c>
      <c r="P487" s="4" t="n">
        <v>45973.466099537</v>
      </c>
      <c r="Q487" s="4" t="n">
        <v>45973.466099537</v>
      </c>
    </row>
    <row r="488" customFormat="false" ht="15" hidden="false" customHeight="false" outlineLevel="0" collapsed="false">
      <c r="A488" s="1" t="str">
        <f aca="false">Feuil1!H488</f>
        <v>54233</v>
      </c>
      <c r="B488" s="1" t="s">
        <v>17</v>
      </c>
      <c r="C488" s="1" t="s">
        <v>17</v>
      </c>
      <c r="D488" s="1" t="s">
        <v>17</v>
      </c>
      <c r="E488" s="1" t="s">
        <v>17</v>
      </c>
      <c r="F488" s="1" t="s">
        <v>17</v>
      </c>
      <c r="G488" s="1" t="s">
        <v>17</v>
      </c>
      <c r="H488" s="1" t="s">
        <v>17</v>
      </c>
      <c r="I488" s="3" t="str">
        <f aca="false">Feuil1!I488</f>
        <v>Chaussures Alpin </v>
      </c>
      <c r="J488" s="3" t="str">
        <f aca="false">Feuil1!J488</f>
        <v>tecnica cochise</v>
      </c>
      <c r="K488" s="3" t="str">
        <f aca="false">Feuil1!K488</f>
        <v>33 (EU) / 21 (MP)</v>
      </c>
      <c r="L488" s="3" t="n">
        <f aca="false">Feuil1!L488</f>
        <v>29</v>
      </c>
      <c r="M488" s="1" t="s">
        <v>17</v>
      </c>
      <c r="N488" s="1" t="s">
        <v>18</v>
      </c>
      <c r="O488" s="1" t="s">
        <v>19</v>
      </c>
      <c r="P488" s="4" t="n">
        <v>45973.466099537</v>
      </c>
      <c r="Q488" s="4" t="n">
        <v>45973.466099537</v>
      </c>
    </row>
    <row r="489" customFormat="false" ht="15" hidden="false" customHeight="false" outlineLevel="0" collapsed="false">
      <c r="A489" s="1" t="str">
        <f aca="false">Feuil1!H489</f>
        <v>54234</v>
      </c>
      <c r="B489" s="1" t="s">
        <v>17</v>
      </c>
      <c r="C489" s="1" t="s">
        <v>17</v>
      </c>
      <c r="D489" s="1" t="s">
        <v>17</v>
      </c>
      <c r="E489" s="1" t="s">
        <v>17</v>
      </c>
      <c r="F489" s="1" t="s">
        <v>17</v>
      </c>
      <c r="G489" s="1" t="s">
        <v>17</v>
      </c>
      <c r="H489" s="1" t="s">
        <v>17</v>
      </c>
      <c r="I489" s="3" t="str">
        <f aca="false">Feuil1!I489</f>
        <v>Chaussures Alpin </v>
      </c>
      <c r="J489" s="3" t="str">
        <f aca="false">Feuil1!J489</f>
        <v>lange rs</v>
      </c>
      <c r="K489" s="3" t="str">
        <f aca="false">Feuil1!K489</f>
        <v>33 (EU) / 21 (MP)</v>
      </c>
      <c r="L489" s="3" t="n">
        <f aca="false">Feuil1!L489</f>
        <v>29</v>
      </c>
      <c r="M489" s="1" t="s">
        <v>17</v>
      </c>
      <c r="N489" s="1" t="s">
        <v>18</v>
      </c>
      <c r="O489" s="1" t="s">
        <v>19</v>
      </c>
      <c r="P489" s="4" t="n">
        <v>45973.466099537</v>
      </c>
      <c r="Q489" s="4" t="n">
        <v>45973.466099537</v>
      </c>
    </row>
    <row r="490" customFormat="false" ht="15" hidden="false" customHeight="false" outlineLevel="0" collapsed="false">
      <c r="A490" s="1" t="str">
        <f aca="false">Feuil1!H490</f>
        <v>54235</v>
      </c>
      <c r="B490" s="1" t="s">
        <v>17</v>
      </c>
      <c r="C490" s="1" t="s">
        <v>17</v>
      </c>
      <c r="D490" s="1" t="s">
        <v>17</v>
      </c>
      <c r="E490" s="1" t="s">
        <v>17</v>
      </c>
      <c r="F490" s="1" t="s">
        <v>17</v>
      </c>
      <c r="G490" s="1" t="s">
        <v>17</v>
      </c>
      <c r="H490" s="1" t="s">
        <v>17</v>
      </c>
      <c r="I490" s="3" t="str">
        <f aca="false">Feuil1!I490</f>
        <v>Chaussures Alpin </v>
      </c>
      <c r="J490" s="3" t="str">
        <f aca="false">Feuil1!J490</f>
        <v>nordica gp</v>
      </c>
      <c r="K490" s="3" t="str">
        <f aca="false">Feuil1!K490</f>
        <v>34 (EU) / 21 (MP)</v>
      </c>
      <c r="L490" s="3" t="n">
        <f aca="false">Feuil1!L490</f>
        <v>35</v>
      </c>
      <c r="M490" s="1" t="s">
        <v>17</v>
      </c>
      <c r="N490" s="1" t="s">
        <v>18</v>
      </c>
      <c r="O490" s="1" t="s">
        <v>19</v>
      </c>
      <c r="P490" s="4" t="n">
        <v>45973.466099537</v>
      </c>
      <c r="Q490" s="4" t="n">
        <v>45973.466099537</v>
      </c>
    </row>
    <row r="491" customFormat="false" ht="15" hidden="false" customHeight="false" outlineLevel="0" collapsed="false">
      <c r="A491" s="1" t="str">
        <f aca="false">Feuil1!H491</f>
        <v>54236</v>
      </c>
      <c r="B491" s="1" t="s">
        <v>17</v>
      </c>
      <c r="C491" s="1" t="s">
        <v>17</v>
      </c>
      <c r="D491" s="1" t="s">
        <v>17</v>
      </c>
      <c r="E491" s="1" t="s">
        <v>17</v>
      </c>
      <c r="F491" s="1" t="s">
        <v>17</v>
      </c>
      <c r="G491" s="1" t="s">
        <v>17</v>
      </c>
      <c r="H491" s="1" t="s">
        <v>17</v>
      </c>
      <c r="I491" s="3" t="str">
        <f aca="false">Feuil1!I491</f>
        <v>Chaussures Alpin </v>
      </c>
      <c r="J491" s="3" t="str">
        <f aca="false">Feuil1!J491</f>
        <v>nordica jr</v>
      </c>
      <c r="K491" s="3" t="str">
        <f aca="false">Feuil1!K491</f>
        <v>33 (EU) / 21 (MP)</v>
      </c>
      <c r="L491" s="3" t="n">
        <f aca="false">Feuil1!L491</f>
        <v>29</v>
      </c>
      <c r="M491" s="1" t="s">
        <v>17</v>
      </c>
      <c r="N491" s="1" t="s">
        <v>18</v>
      </c>
      <c r="O491" s="1" t="s">
        <v>19</v>
      </c>
      <c r="P491" s="4" t="n">
        <v>45973.466099537</v>
      </c>
      <c r="Q491" s="4" t="n">
        <v>45973.466099537</v>
      </c>
    </row>
    <row r="492" customFormat="false" ht="15" hidden="false" customHeight="false" outlineLevel="0" collapsed="false">
      <c r="A492" s="1" t="str">
        <f aca="false">Feuil1!H492</f>
        <v>54237</v>
      </c>
      <c r="B492" s="1" t="s">
        <v>17</v>
      </c>
      <c r="C492" s="1" t="s">
        <v>17</v>
      </c>
      <c r="D492" s="1" t="s">
        <v>17</v>
      </c>
      <c r="E492" s="1" t="s">
        <v>17</v>
      </c>
      <c r="F492" s="1" t="s">
        <v>17</v>
      </c>
      <c r="G492" s="1" t="s">
        <v>17</v>
      </c>
      <c r="H492" s="1" t="s">
        <v>17</v>
      </c>
      <c r="I492" s="3" t="str">
        <f aca="false">Feuil1!I492</f>
        <v>Chaussures Alpin </v>
      </c>
      <c r="J492" s="3" t="str">
        <f aca="false">Feuil1!J492</f>
        <v>nordica jr</v>
      </c>
      <c r="K492" s="3" t="str">
        <f aca="false">Feuil1!K492</f>
        <v>33 (EU) / 21 (MP)</v>
      </c>
      <c r="L492" s="3" t="n">
        <f aca="false">Feuil1!L492</f>
        <v>29</v>
      </c>
      <c r="M492" s="1" t="s">
        <v>17</v>
      </c>
      <c r="N492" s="1" t="s">
        <v>18</v>
      </c>
      <c r="O492" s="1" t="s">
        <v>19</v>
      </c>
      <c r="P492" s="4" t="n">
        <v>45973.466099537</v>
      </c>
      <c r="Q492" s="4" t="n">
        <v>45973.466099537</v>
      </c>
    </row>
    <row r="493" customFormat="false" ht="15" hidden="false" customHeight="false" outlineLevel="0" collapsed="false">
      <c r="A493" s="1" t="str">
        <f aca="false">Feuil1!H493</f>
        <v>54238</v>
      </c>
      <c r="B493" s="1" t="s">
        <v>17</v>
      </c>
      <c r="C493" s="1" t="s">
        <v>17</v>
      </c>
      <c r="D493" s="1" t="s">
        <v>17</v>
      </c>
      <c r="E493" s="1" t="s">
        <v>17</v>
      </c>
      <c r="F493" s="1" t="s">
        <v>17</v>
      </c>
      <c r="G493" s="1" t="s">
        <v>17</v>
      </c>
      <c r="H493" s="1" t="s">
        <v>17</v>
      </c>
      <c r="I493" s="3" t="str">
        <f aca="false">Feuil1!I493</f>
        <v>Chaussures Alpin </v>
      </c>
      <c r="J493" s="3" t="str">
        <f aca="false">Feuil1!J493</f>
        <v>nordica gp</v>
      </c>
      <c r="K493" s="3" t="str">
        <f aca="false">Feuil1!K493</f>
        <v>33 (EU) / 21 (MP)</v>
      </c>
      <c r="L493" s="3" t="n">
        <f aca="false">Feuil1!L493</f>
        <v>29</v>
      </c>
      <c r="M493" s="1" t="s">
        <v>17</v>
      </c>
      <c r="N493" s="1" t="s">
        <v>18</v>
      </c>
      <c r="O493" s="1" t="s">
        <v>19</v>
      </c>
      <c r="P493" s="4" t="n">
        <v>45973.466099537</v>
      </c>
      <c r="Q493" s="4" t="n">
        <v>45973.466099537</v>
      </c>
    </row>
    <row r="494" customFormat="false" ht="15" hidden="false" customHeight="false" outlineLevel="0" collapsed="false">
      <c r="A494" s="1" t="str">
        <f aca="false">Feuil1!H494</f>
        <v>54239</v>
      </c>
      <c r="B494" s="1" t="s">
        <v>17</v>
      </c>
      <c r="C494" s="1" t="s">
        <v>17</v>
      </c>
      <c r="D494" s="1" t="s">
        <v>17</v>
      </c>
      <c r="E494" s="1" t="s">
        <v>17</v>
      </c>
      <c r="F494" s="1" t="s">
        <v>17</v>
      </c>
      <c r="G494" s="1" t="s">
        <v>17</v>
      </c>
      <c r="H494" s="1" t="s">
        <v>17</v>
      </c>
      <c r="I494" s="3" t="str">
        <f aca="false">Feuil1!I494</f>
        <v>Chaussures Alpin </v>
      </c>
      <c r="J494" s="3" t="str">
        <f aca="false">Feuil1!J494</f>
        <v>tecnica cochise</v>
      </c>
      <c r="K494" s="3" t="str">
        <f aca="false">Feuil1!K494</f>
        <v>33 (EU) / 21 (MP)</v>
      </c>
      <c r="L494" s="3" t="n">
        <f aca="false">Feuil1!L494</f>
        <v>29</v>
      </c>
      <c r="M494" s="1" t="s">
        <v>17</v>
      </c>
      <c r="N494" s="1" t="s">
        <v>18</v>
      </c>
      <c r="O494" s="1" t="s">
        <v>19</v>
      </c>
      <c r="P494" s="4" t="n">
        <v>45973.466099537</v>
      </c>
      <c r="Q494" s="4" t="n">
        <v>45973.466099537</v>
      </c>
    </row>
    <row r="495" customFormat="false" ht="15" hidden="false" customHeight="false" outlineLevel="0" collapsed="false">
      <c r="A495" s="1" t="str">
        <f aca="false">Feuil1!H495</f>
        <v>54240</v>
      </c>
      <c r="B495" s="1" t="s">
        <v>17</v>
      </c>
      <c r="C495" s="1" t="s">
        <v>17</v>
      </c>
      <c r="D495" s="1" t="s">
        <v>17</v>
      </c>
      <c r="E495" s="1" t="s">
        <v>17</v>
      </c>
      <c r="F495" s="1" t="s">
        <v>17</v>
      </c>
      <c r="G495" s="1" t="s">
        <v>17</v>
      </c>
      <c r="H495" s="1" t="s">
        <v>17</v>
      </c>
      <c r="I495" s="3" t="str">
        <f aca="false">Feuil1!I495</f>
        <v>Chaussures Alpin </v>
      </c>
      <c r="J495" s="3" t="str">
        <f aca="false">Feuil1!J495</f>
        <v>tecnica cochise</v>
      </c>
      <c r="K495" s="3" t="str">
        <f aca="false">Feuil1!K495</f>
        <v>33 (EU) / 21 (MP)</v>
      </c>
      <c r="L495" s="3" t="n">
        <f aca="false">Feuil1!L495</f>
        <v>29</v>
      </c>
      <c r="M495" s="1" t="s">
        <v>17</v>
      </c>
      <c r="N495" s="1" t="s">
        <v>18</v>
      </c>
      <c r="O495" s="1" t="s">
        <v>19</v>
      </c>
      <c r="P495" s="4" t="n">
        <v>45973.466099537</v>
      </c>
      <c r="Q495" s="4" t="n">
        <v>45973.466099537</v>
      </c>
    </row>
    <row r="496" customFormat="false" ht="15" hidden="false" customHeight="false" outlineLevel="0" collapsed="false">
      <c r="A496" s="1" t="str">
        <f aca="false">Feuil1!H496</f>
        <v>54241</v>
      </c>
      <c r="B496" s="1" t="s">
        <v>17</v>
      </c>
      <c r="C496" s="1" t="s">
        <v>17</v>
      </c>
      <c r="D496" s="1" t="s">
        <v>17</v>
      </c>
      <c r="E496" s="1" t="s">
        <v>17</v>
      </c>
      <c r="F496" s="1" t="s">
        <v>17</v>
      </c>
      <c r="G496" s="1" t="s">
        <v>17</v>
      </c>
      <c r="H496" s="1" t="s">
        <v>17</v>
      </c>
      <c r="I496" s="3" t="str">
        <f aca="false">Feuil1!I496</f>
        <v>Chaussures Alpin </v>
      </c>
      <c r="J496" s="3" t="str">
        <f aca="false">Feuil1!J496</f>
        <v>salomon max</v>
      </c>
      <c r="K496" s="3" t="str">
        <f aca="false">Feuil1!K496</f>
        <v>33 (EU) / 21 (MP)</v>
      </c>
      <c r="L496" s="3" t="n">
        <f aca="false">Feuil1!L496</f>
        <v>29</v>
      </c>
      <c r="M496" s="1" t="s">
        <v>17</v>
      </c>
      <c r="N496" s="1" t="s">
        <v>18</v>
      </c>
      <c r="O496" s="1" t="s">
        <v>19</v>
      </c>
      <c r="P496" s="4" t="n">
        <v>45973.466099537</v>
      </c>
      <c r="Q496" s="4" t="n">
        <v>45973.466099537</v>
      </c>
    </row>
    <row r="497" customFormat="false" ht="15" hidden="false" customHeight="false" outlineLevel="0" collapsed="false">
      <c r="A497" s="1" t="str">
        <f aca="false">Feuil1!H497</f>
        <v>54242</v>
      </c>
      <c r="B497" s="1" t="s">
        <v>17</v>
      </c>
      <c r="C497" s="1" t="s">
        <v>17</v>
      </c>
      <c r="D497" s="1" t="s">
        <v>17</v>
      </c>
      <c r="E497" s="1" t="s">
        <v>17</v>
      </c>
      <c r="F497" s="1" t="s">
        <v>17</v>
      </c>
      <c r="G497" s="1" t="s">
        <v>17</v>
      </c>
      <c r="H497" s="1" t="s">
        <v>17</v>
      </c>
      <c r="I497" s="3" t="str">
        <f aca="false">Feuil1!I497</f>
        <v>Chaussures Alpin </v>
      </c>
      <c r="J497" s="3" t="str">
        <f aca="false">Feuil1!J497</f>
        <v>lange rs</v>
      </c>
      <c r="K497" s="3" t="str">
        <f aca="false">Feuil1!K497</f>
        <v>33 (EU) / 21 (MP)</v>
      </c>
      <c r="L497" s="3" t="n">
        <f aca="false">Feuil1!L497</f>
        <v>29</v>
      </c>
      <c r="M497" s="1" t="s">
        <v>17</v>
      </c>
      <c r="N497" s="1" t="s">
        <v>18</v>
      </c>
      <c r="O497" s="1" t="s">
        <v>19</v>
      </c>
      <c r="P497" s="4" t="n">
        <v>45973.466099537</v>
      </c>
      <c r="Q497" s="4" t="n">
        <v>45973.466099537</v>
      </c>
    </row>
    <row r="498" customFormat="false" ht="15" hidden="false" customHeight="false" outlineLevel="0" collapsed="false">
      <c r="A498" s="1" t="str">
        <f aca="false">Feuil1!H498</f>
        <v>54243</v>
      </c>
      <c r="B498" s="1" t="s">
        <v>17</v>
      </c>
      <c r="C498" s="1" t="s">
        <v>17</v>
      </c>
      <c r="D498" s="1" t="s">
        <v>17</v>
      </c>
      <c r="E498" s="1" t="s">
        <v>17</v>
      </c>
      <c r="F498" s="1" t="s">
        <v>17</v>
      </c>
      <c r="G498" s="1" t="s">
        <v>17</v>
      </c>
      <c r="H498" s="1" t="s">
        <v>17</v>
      </c>
      <c r="I498" s="3" t="str">
        <f aca="false">Feuil1!I498</f>
        <v>Chaussures Alpin </v>
      </c>
      <c r="J498" s="3" t="str">
        <f aca="false">Feuil1!J498</f>
        <v>lange rs</v>
      </c>
      <c r="K498" s="3" t="str">
        <f aca="false">Feuil1!K498</f>
        <v>32 (EU) / 20 (MP)</v>
      </c>
      <c r="L498" s="3" t="n">
        <f aca="false">Feuil1!L498</f>
        <v>25</v>
      </c>
      <c r="M498" s="1" t="s">
        <v>17</v>
      </c>
      <c r="N498" s="1" t="s">
        <v>18</v>
      </c>
      <c r="O498" s="1" t="s">
        <v>19</v>
      </c>
      <c r="P498" s="4" t="n">
        <v>45973.466099537</v>
      </c>
      <c r="Q498" s="4" t="n">
        <v>45973.466099537</v>
      </c>
    </row>
    <row r="499" customFormat="false" ht="15" hidden="false" customHeight="false" outlineLevel="0" collapsed="false">
      <c r="A499" s="1" t="str">
        <f aca="false">Feuil1!H499</f>
        <v>54244</v>
      </c>
      <c r="B499" s="1" t="s">
        <v>17</v>
      </c>
      <c r="C499" s="1" t="s">
        <v>17</v>
      </c>
      <c r="D499" s="1" t="s">
        <v>17</v>
      </c>
      <c r="E499" s="1" t="s">
        <v>17</v>
      </c>
      <c r="F499" s="1" t="s">
        <v>17</v>
      </c>
      <c r="G499" s="1" t="s">
        <v>17</v>
      </c>
      <c r="H499" s="1" t="s">
        <v>17</v>
      </c>
      <c r="I499" s="3" t="str">
        <f aca="false">Feuil1!I499</f>
        <v>Chaussures Alpin </v>
      </c>
      <c r="J499" s="3" t="str">
        <f aca="false">Feuil1!J499</f>
        <v>nordica gp</v>
      </c>
      <c r="K499" s="3" t="str">
        <f aca="false">Feuil1!K499</f>
        <v>32 (EU) / 20 (MP)</v>
      </c>
      <c r="L499" s="3" t="n">
        <f aca="false">Feuil1!L499</f>
        <v>29</v>
      </c>
      <c r="M499" s="1" t="s">
        <v>17</v>
      </c>
      <c r="N499" s="1" t="s">
        <v>18</v>
      </c>
      <c r="O499" s="1" t="s">
        <v>19</v>
      </c>
      <c r="P499" s="4" t="n">
        <v>45973.466099537</v>
      </c>
      <c r="Q499" s="4" t="n">
        <v>45973.466099537</v>
      </c>
    </row>
    <row r="500" customFormat="false" ht="15" hidden="false" customHeight="false" outlineLevel="0" collapsed="false">
      <c r="A500" s="1" t="str">
        <f aca="false">Feuil1!H500</f>
        <v>54245</v>
      </c>
      <c r="B500" s="1" t="s">
        <v>17</v>
      </c>
      <c r="C500" s="1" t="s">
        <v>17</v>
      </c>
      <c r="D500" s="1" t="s">
        <v>17</v>
      </c>
      <c r="E500" s="1" t="s">
        <v>17</v>
      </c>
      <c r="F500" s="1" t="s">
        <v>17</v>
      </c>
      <c r="G500" s="1" t="s">
        <v>17</v>
      </c>
      <c r="H500" s="1" t="s">
        <v>17</v>
      </c>
      <c r="I500" s="3" t="str">
        <f aca="false">Feuil1!I500</f>
        <v>Chaussures Alpin </v>
      </c>
      <c r="J500" s="3" t="str">
        <f aca="false">Feuil1!J500</f>
        <v>tecnica cochise</v>
      </c>
      <c r="K500" s="3" t="str">
        <f aca="false">Feuil1!K500</f>
        <v>32 (EU) / 20 (MP)</v>
      </c>
      <c r="L500" s="3" t="n">
        <f aca="false">Feuil1!L500</f>
        <v>29</v>
      </c>
      <c r="M500" s="1" t="s">
        <v>17</v>
      </c>
      <c r="N500" s="1" t="s">
        <v>18</v>
      </c>
      <c r="O500" s="1" t="s">
        <v>19</v>
      </c>
      <c r="P500" s="4" t="n">
        <v>45973.466099537</v>
      </c>
      <c r="Q500" s="4" t="n">
        <v>45973.466099537</v>
      </c>
    </row>
    <row r="501" customFormat="false" ht="15" hidden="false" customHeight="false" outlineLevel="0" collapsed="false">
      <c r="A501" s="1" t="str">
        <f aca="false">Feuil1!H501</f>
        <v>54246</v>
      </c>
      <c r="B501" s="1" t="s">
        <v>17</v>
      </c>
      <c r="C501" s="1" t="s">
        <v>17</v>
      </c>
      <c r="D501" s="1" t="s">
        <v>17</v>
      </c>
      <c r="E501" s="1" t="s">
        <v>17</v>
      </c>
      <c r="F501" s="1" t="s">
        <v>17</v>
      </c>
      <c r="G501" s="1" t="s">
        <v>17</v>
      </c>
      <c r="H501" s="1" t="s">
        <v>17</v>
      </c>
      <c r="I501" s="3" t="str">
        <f aca="false">Feuil1!I501</f>
        <v>Chaussures Alpin </v>
      </c>
      <c r="J501" s="3" t="str">
        <f aca="false">Feuil1!J501</f>
        <v>tecnica cochise</v>
      </c>
      <c r="K501" s="3" t="str">
        <f aca="false">Feuil1!K501</f>
        <v>32 (EU) / 20 (MP)</v>
      </c>
      <c r="L501" s="3" t="n">
        <f aca="false">Feuil1!L501</f>
        <v>29</v>
      </c>
      <c r="M501" s="1" t="s">
        <v>17</v>
      </c>
      <c r="N501" s="1" t="s">
        <v>18</v>
      </c>
      <c r="O501" s="1" t="s">
        <v>19</v>
      </c>
      <c r="P501" s="4" t="n">
        <v>45973.466099537</v>
      </c>
      <c r="Q501" s="4" t="n">
        <v>45973.466099537</v>
      </c>
    </row>
    <row r="502" customFormat="false" ht="15" hidden="false" customHeight="false" outlineLevel="0" collapsed="false">
      <c r="A502" s="1" t="str">
        <f aca="false">Feuil1!H502</f>
        <v>54247</v>
      </c>
      <c r="B502" s="1" t="s">
        <v>17</v>
      </c>
      <c r="C502" s="1" t="s">
        <v>17</v>
      </c>
      <c r="D502" s="1" t="s">
        <v>17</v>
      </c>
      <c r="E502" s="1" t="s">
        <v>17</v>
      </c>
      <c r="F502" s="1" t="s">
        <v>17</v>
      </c>
      <c r="G502" s="1" t="s">
        <v>17</v>
      </c>
      <c r="H502" s="1" t="s">
        <v>17</v>
      </c>
      <c r="I502" s="3" t="str">
        <f aca="false">Feuil1!I502</f>
        <v>Chaussures Alpin </v>
      </c>
      <c r="J502" s="3" t="str">
        <f aca="false">Feuil1!J502</f>
        <v>rossignol hero</v>
      </c>
      <c r="K502" s="3" t="str">
        <f aca="false">Feuil1!K502</f>
        <v>32 (EU) / 20 (MP)</v>
      </c>
      <c r="L502" s="3" t="n">
        <f aca="false">Feuil1!L502</f>
        <v>29</v>
      </c>
      <c r="M502" s="1" t="s">
        <v>17</v>
      </c>
      <c r="N502" s="1" t="s">
        <v>18</v>
      </c>
      <c r="O502" s="1" t="s">
        <v>19</v>
      </c>
      <c r="P502" s="4" t="n">
        <v>45973.466099537</v>
      </c>
      <c r="Q502" s="4" t="n">
        <v>45973.466099537</v>
      </c>
    </row>
    <row r="503" customFormat="false" ht="15" hidden="false" customHeight="false" outlineLevel="0" collapsed="false">
      <c r="A503" s="1" t="str">
        <f aca="false">Feuil1!H503</f>
        <v>54248</v>
      </c>
      <c r="B503" s="1" t="s">
        <v>17</v>
      </c>
      <c r="C503" s="1" t="s">
        <v>17</v>
      </c>
      <c r="D503" s="1" t="s">
        <v>17</v>
      </c>
      <c r="E503" s="1" t="s">
        <v>17</v>
      </c>
      <c r="F503" s="1" t="s">
        <v>17</v>
      </c>
      <c r="G503" s="1" t="s">
        <v>17</v>
      </c>
      <c r="H503" s="1" t="s">
        <v>17</v>
      </c>
      <c r="I503" s="3" t="str">
        <f aca="false">Feuil1!I503</f>
        <v>Chaussures Alpin </v>
      </c>
      <c r="J503" s="3" t="str">
        <f aca="false">Feuil1!J503</f>
        <v>rossignol hero</v>
      </c>
      <c r="K503" s="3" t="str">
        <f aca="false">Feuil1!K503</f>
        <v>32 (EU) / 20 (MP)</v>
      </c>
      <c r="L503" s="3" t="n">
        <f aca="false">Feuil1!L503</f>
        <v>29</v>
      </c>
      <c r="M503" s="1" t="s">
        <v>17</v>
      </c>
      <c r="N503" s="1" t="s">
        <v>18</v>
      </c>
      <c r="O503" s="1" t="s">
        <v>19</v>
      </c>
      <c r="P503" s="4" t="n">
        <v>45973.466099537</v>
      </c>
      <c r="Q503" s="4" t="n">
        <v>45973.466099537</v>
      </c>
    </row>
    <row r="504" customFormat="false" ht="15" hidden="false" customHeight="false" outlineLevel="0" collapsed="false">
      <c r="A504" s="1" t="str">
        <f aca="false">Feuil1!H504</f>
        <v>54249</v>
      </c>
      <c r="B504" s="1" t="s">
        <v>17</v>
      </c>
      <c r="C504" s="1" t="s">
        <v>17</v>
      </c>
      <c r="D504" s="1" t="s">
        <v>17</v>
      </c>
      <c r="E504" s="1" t="s">
        <v>17</v>
      </c>
      <c r="F504" s="1" t="s">
        <v>17</v>
      </c>
      <c r="G504" s="1" t="s">
        <v>17</v>
      </c>
      <c r="H504" s="1" t="s">
        <v>17</v>
      </c>
      <c r="I504" s="3" t="str">
        <f aca="false">Feuil1!I504</f>
        <v>Chaussures Alpin </v>
      </c>
      <c r="J504" s="3" t="str">
        <f aca="false">Feuil1!J504</f>
        <v>rossignol hero</v>
      </c>
      <c r="K504" s="3" t="str">
        <f aca="false">Feuil1!K504</f>
        <v>32 (EU) / 20 (MP)</v>
      </c>
      <c r="L504" s="3" t="n">
        <f aca="false">Feuil1!L504</f>
        <v>29</v>
      </c>
      <c r="M504" s="1" t="s">
        <v>17</v>
      </c>
      <c r="N504" s="1" t="s">
        <v>18</v>
      </c>
      <c r="O504" s="1" t="s">
        <v>19</v>
      </c>
      <c r="P504" s="4" t="n">
        <v>45973.466099537</v>
      </c>
      <c r="Q504" s="4" t="n">
        <v>45973.466099537</v>
      </c>
    </row>
    <row r="505" customFormat="false" ht="15" hidden="false" customHeight="false" outlineLevel="0" collapsed="false">
      <c r="A505" s="1" t="str">
        <f aca="false">Feuil1!H505</f>
        <v>54250</v>
      </c>
      <c r="B505" s="1" t="s">
        <v>17</v>
      </c>
      <c r="C505" s="1" t="s">
        <v>17</v>
      </c>
      <c r="D505" s="1" t="s">
        <v>17</v>
      </c>
      <c r="E505" s="1" t="s">
        <v>17</v>
      </c>
      <c r="F505" s="1" t="s">
        <v>17</v>
      </c>
      <c r="G505" s="1" t="s">
        <v>17</v>
      </c>
      <c r="H505" s="1" t="s">
        <v>17</v>
      </c>
      <c r="I505" s="3" t="str">
        <f aca="false">Feuil1!I505</f>
        <v>Chaussures Alpin </v>
      </c>
      <c r="J505" s="3" t="str">
        <f aca="false">Feuil1!J505</f>
        <v>dalbello menace</v>
      </c>
      <c r="K505" s="3" t="str">
        <f aca="false">Feuil1!K505</f>
        <v>32 (EU) / 20 (MP)</v>
      </c>
      <c r="L505" s="3" t="n">
        <f aca="false">Feuil1!L505</f>
        <v>25</v>
      </c>
      <c r="M505" s="1" t="s">
        <v>17</v>
      </c>
      <c r="N505" s="1" t="s">
        <v>18</v>
      </c>
      <c r="O505" s="1" t="s">
        <v>19</v>
      </c>
      <c r="P505" s="4" t="n">
        <v>45973.466099537</v>
      </c>
      <c r="Q505" s="4" t="n">
        <v>45973.466099537</v>
      </c>
    </row>
    <row r="506" customFormat="false" ht="15" hidden="false" customHeight="false" outlineLevel="0" collapsed="false">
      <c r="A506" s="1" t="str">
        <f aca="false">Feuil1!H506</f>
        <v>54251</v>
      </c>
      <c r="B506" s="1" t="s">
        <v>17</v>
      </c>
      <c r="C506" s="1" t="s">
        <v>17</v>
      </c>
      <c r="D506" s="1" t="s">
        <v>17</v>
      </c>
      <c r="E506" s="1" t="s">
        <v>17</v>
      </c>
      <c r="F506" s="1" t="s">
        <v>17</v>
      </c>
      <c r="G506" s="1" t="s">
        <v>17</v>
      </c>
      <c r="H506" s="1" t="s">
        <v>17</v>
      </c>
      <c r="I506" s="3" t="str">
        <f aca="false">Feuil1!I506</f>
        <v>Chaussures Alpin </v>
      </c>
      <c r="J506" s="3" t="str">
        <f aca="false">Feuil1!J506</f>
        <v>salomon max</v>
      </c>
      <c r="K506" s="3" t="str">
        <f aca="false">Feuil1!K506</f>
        <v>31 (EU) / 19 (MP)</v>
      </c>
      <c r="L506" s="3" t="n">
        <f aca="false">Feuil1!L506</f>
        <v>29</v>
      </c>
      <c r="M506" s="1" t="s">
        <v>17</v>
      </c>
      <c r="N506" s="1" t="s">
        <v>18</v>
      </c>
      <c r="O506" s="1" t="s">
        <v>19</v>
      </c>
      <c r="P506" s="4" t="n">
        <v>45973.466099537</v>
      </c>
      <c r="Q506" s="4" t="n">
        <v>45973.466099537</v>
      </c>
    </row>
    <row r="507" customFormat="false" ht="15" hidden="false" customHeight="false" outlineLevel="0" collapsed="false">
      <c r="A507" s="1" t="str">
        <f aca="false">Feuil1!H507</f>
        <v>54252</v>
      </c>
      <c r="B507" s="1" t="s">
        <v>17</v>
      </c>
      <c r="C507" s="1" t="s">
        <v>17</v>
      </c>
      <c r="D507" s="1" t="s">
        <v>17</v>
      </c>
      <c r="E507" s="1" t="s">
        <v>17</v>
      </c>
      <c r="F507" s="1" t="s">
        <v>17</v>
      </c>
      <c r="G507" s="1" t="s">
        <v>17</v>
      </c>
      <c r="H507" s="1" t="s">
        <v>17</v>
      </c>
      <c r="I507" s="3" t="str">
        <f aca="false">Feuil1!I507</f>
        <v>Chaussures Alpin </v>
      </c>
      <c r="J507" s="3" t="str">
        <f aca="false">Feuil1!J507</f>
        <v>lange rs</v>
      </c>
      <c r="K507" s="3" t="str">
        <f aca="false">Feuil1!K507</f>
        <v>31 (EU) / 19 (MP)</v>
      </c>
      <c r="L507" s="3" t="n">
        <f aca="false">Feuil1!L507</f>
        <v>29</v>
      </c>
      <c r="M507" s="1" t="s">
        <v>17</v>
      </c>
      <c r="N507" s="1" t="s">
        <v>18</v>
      </c>
      <c r="O507" s="1" t="s">
        <v>19</v>
      </c>
      <c r="P507" s="4" t="n">
        <v>45973.466099537</v>
      </c>
      <c r="Q507" s="4" t="n">
        <v>45973.466099537</v>
      </c>
    </row>
    <row r="508" customFormat="false" ht="15" hidden="false" customHeight="false" outlineLevel="0" collapsed="false">
      <c r="A508" s="1" t="str">
        <f aca="false">Feuil1!H508</f>
        <v>54253</v>
      </c>
      <c r="B508" s="1" t="s">
        <v>17</v>
      </c>
      <c r="C508" s="1" t="s">
        <v>17</v>
      </c>
      <c r="D508" s="1" t="s">
        <v>17</v>
      </c>
      <c r="E508" s="1" t="s">
        <v>17</v>
      </c>
      <c r="F508" s="1" t="s">
        <v>17</v>
      </c>
      <c r="G508" s="1" t="s">
        <v>17</v>
      </c>
      <c r="H508" s="1" t="s">
        <v>17</v>
      </c>
      <c r="I508" s="3" t="str">
        <f aca="false">Feuil1!I508</f>
        <v>Chaussures Alpin </v>
      </c>
      <c r="J508" s="3" t="str">
        <f aca="false">Feuil1!J508</f>
        <v>lange rs</v>
      </c>
      <c r="K508" s="3" t="str">
        <f aca="false">Feuil1!K508</f>
        <v>31 (EU) / 19 (MP)</v>
      </c>
      <c r="L508" s="3" t="n">
        <f aca="false">Feuil1!L508</f>
        <v>29</v>
      </c>
      <c r="M508" s="1" t="s">
        <v>17</v>
      </c>
      <c r="N508" s="1" t="s">
        <v>18</v>
      </c>
      <c r="O508" s="1" t="s">
        <v>19</v>
      </c>
      <c r="P508" s="4" t="n">
        <v>45973.466099537</v>
      </c>
      <c r="Q508" s="4" t="n">
        <v>45973.466099537</v>
      </c>
    </row>
    <row r="509" customFormat="false" ht="15" hidden="false" customHeight="false" outlineLevel="0" collapsed="false">
      <c r="A509" s="1" t="str">
        <f aca="false">Feuil1!H509</f>
        <v>54254</v>
      </c>
      <c r="B509" s="1" t="s">
        <v>17</v>
      </c>
      <c r="C509" s="1" t="s">
        <v>17</v>
      </c>
      <c r="D509" s="1" t="s">
        <v>17</v>
      </c>
      <c r="E509" s="1" t="s">
        <v>17</v>
      </c>
      <c r="F509" s="1" t="s">
        <v>17</v>
      </c>
      <c r="G509" s="1" t="s">
        <v>17</v>
      </c>
      <c r="H509" s="1" t="s">
        <v>17</v>
      </c>
      <c r="I509" s="3" t="str">
        <f aca="false">Feuil1!I509</f>
        <v>Chaussures Alpin </v>
      </c>
      <c r="J509" s="3" t="str">
        <f aca="false">Feuil1!J509</f>
        <v>tecnica cochise</v>
      </c>
      <c r="K509" s="3" t="str">
        <f aca="false">Feuil1!K509</f>
        <v>30 (EU) / 19 (MP)</v>
      </c>
      <c r="L509" s="3" t="n">
        <f aca="false">Feuil1!L509</f>
        <v>29</v>
      </c>
      <c r="M509" s="1" t="s">
        <v>17</v>
      </c>
      <c r="N509" s="1" t="s">
        <v>18</v>
      </c>
      <c r="O509" s="1" t="s">
        <v>19</v>
      </c>
      <c r="P509" s="4" t="n">
        <v>45973.466099537</v>
      </c>
      <c r="Q509" s="4" t="n">
        <v>45973.466099537</v>
      </c>
    </row>
    <row r="510" customFormat="false" ht="15" hidden="false" customHeight="false" outlineLevel="0" collapsed="false">
      <c r="A510" s="1" t="str">
        <f aca="false">Feuil1!H510</f>
        <v>54255</v>
      </c>
      <c r="B510" s="1" t="s">
        <v>17</v>
      </c>
      <c r="C510" s="1" t="s">
        <v>17</v>
      </c>
      <c r="D510" s="1" t="s">
        <v>17</v>
      </c>
      <c r="E510" s="1" t="s">
        <v>17</v>
      </c>
      <c r="F510" s="1" t="s">
        <v>17</v>
      </c>
      <c r="G510" s="1" t="s">
        <v>17</v>
      </c>
      <c r="H510" s="1" t="s">
        <v>17</v>
      </c>
      <c r="I510" s="3" t="str">
        <f aca="false">Feuil1!I510</f>
        <v>Chaussures Alpin </v>
      </c>
      <c r="J510" s="3" t="str">
        <f aca="false">Feuil1!J510</f>
        <v>tecnica cochise</v>
      </c>
      <c r="K510" s="3" t="str">
        <f aca="false">Feuil1!K510</f>
        <v>30 (EU) / 19 (MP)</v>
      </c>
      <c r="L510" s="3" t="n">
        <f aca="false">Feuil1!L510</f>
        <v>29</v>
      </c>
      <c r="M510" s="1" t="s">
        <v>17</v>
      </c>
      <c r="N510" s="1" t="s">
        <v>18</v>
      </c>
      <c r="O510" s="1" t="s">
        <v>19</v>
      </c>
      <c r="P510" s="4" t="n">
        <v>45973.466099537</v>
      </c>
      <c r="Q510" s="4" t="n">
        <v>45973.466099537</v>
      </c>
    </row>
    <row r="511" customFormat="false" ht="15" hidden="false" customHeight="false" outlineLevel="0" collapsed="false">
      <c r="A511" s="1" t="str">
        <f aca="false">Feuil1!H511</f>
        <v>54256</v>
      </c>
      <c r="B511" s="1" t="s">
        <v>17</v>
      </c>
      <c r="C511" s="1" t="s">
        <v>17</v>
      </c>
      <c r="D511" s="1" t="s">
        <v>17</v>
      </c>
      <c r="E511" s="1" t="s">
        <v>17</v>
      </c>
      <c r="F511" s="1" t="s">
        <v>17</v>
      </c>
      <c r="G511" s="1" t="s">
        <v>17</v>
      </c>
      <c r="H511" s="1" t="s">
        <v>17</v>
      </c>
      <c r="I511" s="3" t="str">
        <f aca="false">Feuil1!I511</f>
        <v>Chaussures Alpin </v>
      </c>
      <c r="J511" s="3" t="str">
        <f aca="false">Feuil1!J511</f>
        <v>tecnica cochise</v>
      </c>
      <c r="K511" s="3" t="str">
        <f aca="false">Feuil1!K511</f>
        <v>30 (EU) / 19 (MP)</v>
      </c>
      <c r="L511" s="3" t="n">
        <f aca="false">Feuil1!L511</f>
        <v>29</v>
      </c>
      <c r="M511" s="1" t="s">
        <v>17</v>
      </c>
      <c r="N511" s="1" t="s">
        <v>18</v>
      </c>
      <c r="O511" s="1" t="s">
        <v>19</v>
      </c>
      <c r="P511" s="4" t="n">
        <v>45973.466099537</v>
      </c>
      <c r="Q511" s="4" t="n">
        <v>45973.466099537</v>
      </c>
    </row>
    <row r="512" customFormat="false" ht="15" hidden="false" customHeight="false" outlineLevel="0" collapsed="false">
      <c r="A512" s="1" t="str">
        <f aca="false">Feuil1!H512</f>
        <v>54257</v>
      </c>
      <c r="B512" s="1" t="s">
        <v>17</v>
      </c>
      <c r="C512" s="1" t="s">
        <v>17</v>
      </c>
      <c r="D512" s="1" t="s">
        <v>17</v>
      </c>
      <c r="E512" s="1" t="s">
        <v>17</v>
      </c>
      <c r="F512" s="1" t="s">
        <v>17</v>
      </c>
      <c r="G512" s="1" t="s">
        <v>17</v>
      </c>
      <c r="H512" s="1" t="s">
        <v>17</v>
      </c>
      <c r="I512" s="3" t="str">
        <f aca="false">Feuil1!I512</f>
        <v>Chaussures Alpin </v>
      </c>
      <c r="J512" s="3" t="str">
        <f aca="false">Feuil1!J512</f>
        <v>tecnica cochise</v>
      </c>
      <c r="K512" s="3" t="str">
        <f aca="false">Feuil1!K512</f>
        <v>30 (EU) / 19 (MP)</v>
      </c>
      <c r="L512" s="3" t="n">
        <f aca="false">Feuil1!L512</f>
        <v>29</v>
      </c>
      <c r="M512" s="1" t="s">
        <v>17</v>
      </c>
      <c r="N512" s="1" t="s">
        <v>18</v>
      </c>
      <c r="O512" s="1" t="s">
        <v>19</v>
      </c>
      <c r="P512" s="4" t="n">
        <v>45973.466099537</v>
      </c>
      <c r="Q512" s="4" t="n">
        <v>45973.466099537</v>
      </c>
    </row>
    <row r="513" customFormat="false" ht="15" hidden="false" customHeight="false" outlineLevel="0" collapsed="false">
      <c r="A513" s="1" t="str">
        <f aca="false">Feuil1!H513</f>
        <v>54258</v>
      </c>
      <c r="B513" s="1" t="s">
        <v>17</v>
      </c>
      <c r="C513" s="1" t="s">
        <v>17</v>
      </c>
      <c r="D513" s="1" t="s">
        <v>17</v>
      </c>
      <c r="E513" s="1" t="s">
        <v>17</v>
      </c>
      <c r="F513" s="1" t="s">
        <v>17</v>
      </c>
      <c r="G513" s="1" t="s">
        <v>17</v>
      </c>
      <c r="H513" s="1" t="s">
        <v>17</v>
      </c>
      <c r="I513" s="3" t="str">
        <f aca="false">Feuil1!I513</f>
        <v>Chaussures Alpin </v>
      </c>
      <c r="J513" s="3" t="str">
        <f aca="false">Feuil1!J513</f>
        <v>lange rs</v>
      </c>
      <c r="K513" s="3" t="str">
        <f aca="false">Feuil1!K513</f>
        <v>30 (EU) / 19 (MP)</v>
      </c>
      <c r="L513" s="3" t="n">
        <f aca="false">Feuil1!L513</f>
        <v>29</v>
      </c>
      <c r="M513" s="1" t="s">
        <v>17</v>
      </c>
      <c r="N513" s="1" t="s">
        <v>18</v>
      </c>
      <c r="O513" s="1" t="s">
        <v>19</v>
      </c>
      <c r="P513" s="4" t="n">
        <v>45973.466099537</v>
      </c>
      <c r="Q513" s="4" t="n">
        <v>45973.466099537</v>
      </c>
    </row>
    <row r="514" customFormat="false" ht="15" hidden="false" customHeight="false" outlineLevel="0" collapsed="false">
      <c r="A514" s="1" t="str">
        <f aca="false">Feuil1!H514</f>
        <v>54259</v>
      </c>
      <c r="B514" s="1" t="s">
        <v>17</v>
      </c>
      <c r="C514" s="1" t="s">
        <v>17</v>
      </c>
      <c r="D514" s="1" t="s">
        <v>17</v>
      </c>
      <c r="E514" s="1" t="s">
        <v>17</v>
      </c>
      <c r="F514" s="1" t="s">
        <v>17</v>
      </c>
      <c r="G514" s="1" t="s">
        <v>17</v>
      </c>
      <c r="H514" s="1" t="s">
        <v>17</v>
      </c>
      <c r="I514" s="3" t="str">
        <f aca="false">Feuil1!I514</f>
        <v>Chaussures Alpin </v>
      </c>
      <c r="J514" s="3" t="str">
        <f aca="false">Feuil1!J514</f>
        <v>lange rs</v>
      </c>
      <c r="K514" s="3" t="str">
        <f aca="false">Feuil1!K514</f>
        <v>30 (EU) / 19 (MP)</v>
      </c>
      <c r="L514" s="3" t="n">
        <f aca="false">Feuil1!L514</f>
        <v>29</v>
      </c>
      <c r="M514" s="1" t="s">
        <v>17</v>
      </c>
      <c r="N514" s="1" t="s">
        <v>18</v>
      </c>
      <c r="O514" s="1" t="s">
        <v>19</v>
      </c>
      <c r="P514" s="4" t="n">
        <v>45973.466099537</v>
      </c>
      <c r="Q514" s="4" t="n">
        <v>45973.466099537</v>
      </c>
    </row>
    <row r="515" customFormat="false" ht="15" hidden="false" customHeight="false" outlineLevel="0" collapsed="false">
      <c r="A515" s="1" t="str">
        <f aca="false">Feuil1!H515</f>
        <v>54260</v>
      </c>
      <c r="B515" s="1" t="s">
        <v>17</v>
      </c>
      <c r="C515" s="1" t="s">
        <v>17</v>
      </c>
      <c r="D515" s="1" t="s">
        <v>17</v>
      </c>
      <c r="E515" s="1" t="s">
        <v>17</v>
      </c>
      <c r="F515" s="1" t="s">
        <v>17</v>
      </c>
      <c r="G515" s="1" t="s">
        <v>17</v>
      </c>
      <c r="H515" s="1" t="s">
        <v>17</v>
      </c>
      <c r="I515" s="3" t="str">
        <f aca="false">Feuil1!I515</f>
        <v>Chaussures Alpin </v>
      </c>
      <c r="J515" s="3" t="str">
        <f aca="false">Feuil1!J515</f>
        <v>dalbello jr</v>
      </c>
      <c r="K515" s="3" t="str">
        <f aca="false">Feuil1!K515</f>
        <v>30 (EU) / 19 (MP)</v>
      </c>
      <c r="L515" s="3" t="n">
        <f aca="false">Feuil1!L515</f>
        <v>29</v>
      </c>
      <c r="M515" s="1" t="s">
        <v>17</v>
      </c>
      <c r="N515" s="1" t="s">
        <v>18</v>
      </c>
      <c r="O515" s="1" t="s">
        <v>19</v>
      </c>
      <c r="P515" s="4" t="n">
        <v>45973.466099537</v>
      </c>
      <c r="Q515" s="4" t="n">
        <v>45973.466099537</v>
      </c>
    </row>
    <row r="516" customFormat="false" ht="15" hidden="false" customHeight="false" outlineLevel="0" collapsed="false">
      <c r="A516" s="1" t="str">
        <f aca="false">Feuil1!H516</f>
        <v>54261</v>
      </c>
      <c r="B516" s="1" t="s">
        <v>17</v>
      </c>
      <c r="C516" s="1" t="s">
        <v>17</v>
      </c>
      <c r="D516" s="1" t="s">
        <v>17</v>
      </c>
      <c r="E516" s="1" t="s">
        <v>17</v>
      </c>
      <c r="F516" s="1" t="s">
        <v>17</v>
      </c>
      <c r="G516" s="1" t="s">
        <v>17</v>
      </c>
      <c r="H516" s="1" t="s">
        <v>17</v>
      </c>
      <c r="I516" s="3" t="str">
        <f aca="false">Feuil1!I516</f>
        <v>Chaussures Alpin </v>
      </c>
      <c r="J516" s="3" t="str">
        <f aca="false">Feuil1!J516</f>
        <v>dalbello jr</v>
      </c>
      <c r="K516" s="3" t="str">
        <f aca="false">Feuil1!K516</f>
        <v>30 (EU) / 19 (MP)</v>
      </c>
      <c r="L516" s="3" t="n">
        <f aca="false">Feuil1!L516</f>
        <v>29</v>
      </c>
      <c r="M516" s="1" t="s">
        <v>17</v>
      </c>
      <c r="N516" s="1" t="s">
        <v>18</v>
      </c>
      <c r="O516" s="1" t="s">
        <v>19</v>
      </c>
      <c r="P516" s="4" t="n">
        <v>45973.466099537</v>
      </c>
      <c r="Q516" s="4" t="n">
        <v>45973.466099537</v>
      </c>
    </row>
    <row r="517" customFormat="false" ht="15" hidden="false" customHeight="false" outlineLevel="0" collapsed="false">
      <c r="A517" s="1" t="str">
        <f aca="false">Feuil1!H517</f>
        <v>54262</v>
      </c>
      <c r="B517" s="1" t="s">
        <v>17</v>
      </c>
      <c r="C517" s="1" t="s">
        <v>17</v>
      </c>
      <c r="D517" s="1" t="s">
        <v>17</v>
      </c>
      <c r="E517" s="1" t="s">
        <v>17</v>
      </c>
      <c r="F517" s="1" t="s">
        <v>17</v>
      </c>
      <c r="G517" s="1" t="s">
        <v>17</v>
      </c>
      <c r="H517" s="1" t="s">
        <v>17</v>
      </c>
      <c r="I517" s="3" t="str">
        <f aca="false">Feuil1!I517</f>
        <v>Chaussures Alpin </v>
      </c>
      <c r="J517" s="3" t="str">
        <f aca="false">Feuil1!J517</f>
        <v>nordica jr</v>
      </c>
      <c r="K517" s="3" t="str">
        <f aca="false">Feuil1!K517</f>
        <v>30 (EU) / 19 (MP)</v>
      </c>
      <c r="L517" s="3" t="n">
        <f aca="false">Feuil1!L517</f>
        <v>29</v>
      </c>
      <c r="M517" s="1" t="s">
        <v>17</v>
      </c>
      <c r="N517" s="1" t="s">
        <v>18</v>
      </c>
      <c r="O517" s="1" t="s">
        <v>19</v>
      </c>
      <c r="P517" s="4" t="n">
        <v>45973.466099537</v>
      </c>
      <c r="Q517" s="4" t="n">
        <v>45973.466099537</v>
      </c>
    </row>
    <row r="518" customFormat="false" ht="15" hidden="false" customHeight="false" outlineLevel="0" collapsed="false">
      <c r="A518" s="1" t="str">
        <f aca="false">Feuil1!H518</f>
        <v>54263</v>
      </c>
      <c r="B518" s="1" t="s">
        <v>17</v>
      </c>
      <c r="C518" s="1" t="s">
        <v>17</v>
      </c>
      <c r="D518" s="1" t="s">
        <v>17</v>
      </c>
      <c r="E518" s="1" t="s">
        <v>17</v>
      </c>
      <c r="F518" s="1" t="s">
        <v>17</v>
      </c>
      <c r="G518" s="1" t="s">
        <v>17</v>
      </c>
      <c r="H518" s="1" t="s">
        <v>17</v>
      </c>
      <c r="I518" s="3" t="str">
        <f aca="false">Feuil1!I518</f>
        <v>Chaussures Alpin </v>
      </c>
      <c r="J518" s="3" t="str">
        <f aca="false">Feuil1!J518</f>
        <v>nordica jr</v>
      </c>
      <c r="K518" s="3" t="str">
        <f aca="false">Feuil1!K518</f>
        <v>30 (EU) / 19 (MP)</v>
      </c>
      <c r="L518" s="3" t="n">
        <f aca="false">Feuil1!L518</f>
        <v>29</v>
      </c>
      <c r="M518" s="1" t="s">
        <v>17</v>
      </c>
      <c r="N518" s="1" t="s">
        <v>18</v>
      </c>
      <c r="O518" s="1" t="s">
        <v>19</v>
      </c>
      <c r="P518" s="4" t="n">
        <v>45973.466099537</v>
      </c>
      <c r="Q518" s="4" t="n">
        <v>45973.466099537</v>
      </c>
    </row>
    <row r="519" customFormat="false" ht="15" hidden="false" customHeight="false" outlineLevel="0" collapsed="false">
      <c r="A519" s="1" t="str">
        <f aca="false">Feuil1!H519</f>
        <v>54264</v>
      </c>
      <c r="B519" s="1" t="s">
        <v>17</v>
      </c>
      <c r="C519" s="1" t="s">
        <v>17</v>
      </c>
      <c r="D519" s="1" t="s">
        <v>17</v>
      </c>
      <c r="E519" s="1" t="s">
        <v>17</v>
      </c>
      <c r="F519" s="1" t="s">
        <v>17</v>
      </c>
      <c r="G519" s="1" t="s">
        <v>17</v>
      </c>
      <c r="H519" s="1" t="s">
        <v>17</v>
      </c>
      <c r="I519" s="3" t="str">
        <f aca="false">Feuil1!I519</f>
        <v>Chaussures Alpin </v>
      </c>
      <c r="J519" s="3" t="str">
        <f aca="false">Feuil1!J519</f>
        <v>rossignol comp</v>
      </c>
      <c r="K519" s="3" t="str">
        <f aca="false">Feuil1!K519</f>
        <v>29 (EU) / 18 (MP)</v>
      </c>
      <c r="L519" s="3" t="n">
        <f aca="false">Feuil1!L519</f>
        <v>29</v>
      </c>
      <c r="M519" s="1" t="s">
        <v>17</v>
      </c>
      <c r="N519" s="1" t="s">
        <v>18</v>
      </c>
      <c r="O519" s="1" t="s">
        <v>19</v>
      </c>
      <c r="P519" s="4" t="n">
        <v>45973.466099537</v>
      </c>
      <c r="Q519" s="4" t="n">
        <v>45973.466099537</v>
      </c>
    </row>
    <row r="520" customFormat="false" ht="15" hidden="false" customHeight="false" outlineLevel="0" collapsed="false">
      <c r="A520" s="1" t="str">
        <f aca="false">Feuil1!H520</f>
        <v>54265</v>
      </c>
      <c r="B520" s="1" t="s">
        <v>17</v>
      </c>
      <c r="C520" s="1" t="s">
        <v>17</v>
      </c>
      <c r="D520" s="1" t="s">
        <v>17</v>
      </c>
      <c r="E520" s="1" t="s">
        <v>17</v>
      </c>
      <c r="F520" s="1" t="s">
        <v>17</v>
      </c>
      <c r="G520" s="1" t="s">
        <v>17</v>
      </c>
      <c r="H520" s="1" t="s">
        <v>17</v>
      </c>
      <c r="I520" s="3" t="str">
        <f aca="false">Feuil1!I520</f>
        <v>Chaussures Alpin </v>
      </c>
      <c r="J520" s="3" t="str">
        <f aca="false">Feuil1!J520</f>
        <v>salomon max</v>
      </c>
      <c r="K520" s="3" t="str">
        <f aca="false">Feuil1!K520</f>
        <v>29 (EU) / 18 (MP)</v>
      </c>
      <c r="L520" s="3" t="n">
        <f aca="false">Feuil1!L520</f>
        <v>29</v>
      </c>
      <c r="M520" s="1" t="s">
        <v>17</v>
      </c>
      <c r="N520" s="1" t="s">
        <v>18</v>
      </c>
      <c r="O520" s="1" t="s">
        <v>19</v>
      </c>
      <c r="P520" s="4" t="n">
        <v>45973.466099537</v>
      </c>
      <c r="Q520" s="4" t="n">
        <v>45973.466099537</v>
      </c>
    </row>
    <row r="521" customFormat="false" ht="15" hidden="false" customHeight="false" outlineLevel="0" collapsed="false">
      <c r="A521" s="1" t="str">
        <f aca="false">Feuil1!H521</f>
        <v>54266</v>
      </c>
      <c r="B521" s="1" t="s">
        <v>17</v>
      </c>
      <c r="C521" s="1" t="s">
        <v>17</v>
      </c>
      <c r="D521" s="1" t="s">
        <v>17</v>
      </c>
      <c r="E521" s="1" t="s">
        <v>17</v>
      </c>
      <c r="F521" s="1" t="s">
        <v>17</v>
      </c>
      <c r="G521" s="1" t="s">
        <v>17</v>
      </c>
      <c r="H521" s="1" t="s">
        <v>17</v>
      </c>
      <c r="I521" s="3" t="str">
        <f aca="false">Feuil1!I521</f>
        <v>Chaussures Alpin </v>
      </c>
      <c r="J521" s="3" t="str">
        <f aca="false">Feuil1!J521</f>
        <v>tecnica cochise</v>
      </c>
      <c r="K521" s="3" t="str">
        <f aca="false">Feuil1!K521</f>
        <v>29 (EU) / 18 (MP)</v>
      </c>
      <c r="L521" s="3" t="n">
        <f aca="false">Feuil1!L521</f>
        <v>29</v>
      </c>
      <c r="M521" s="1" t="s">
        <v>17</v>
      </c>
      <c r="N521" s="1" t="s">
        <v>18</v>
      </c>
      <c r="O521" s="1" t="s">
        <v>19</v>
      </c>
      <c r="P521" s="4" t="n">
        <v>45973.466099537</v>
      </c>
      <c r="Q521" s="4" t="n">
        <v>45973.466099537</v>
      </c>
    </row>
    <row r="522" customFormat="false" ht="15" hidden="false" customHeight="false" outlineLevel="0" collapsed="false">
      <c r="A522" s="1" t="str">
        <f aca="false">Feuil1!H522</f>
        <v>54267</v>
      </c>
      <c r="B522" s="1" t="s">
        <v>17</v>
      </c>
      <c r="C522" s="1" t="s">
        <v>17</v>
      </c>
      <c r="D522" s="1" t="s">
        <v>17</v>
      </c>
      <c r="E522" s="1" t="s">
        <v>17</v>
      </c>
      <c r="F522" s="1" t="s">
        <v>17</v>
      </c>
      <c r="G522" s="1" t="s">
        <v>17</v>
      </c>
      <c r="H522" s="1" t="s">
        <v>17</v>
      </c>
      <c r="I522" s="3" t="str">
        <f aca="false">Feuil1!I522</f>
        <v>Chaussures Alpin </v>
      </c>
      <c r="J522" s="3" t="str">
        <f aca="false">Feuil1!J522</f>
        <v>lange rs</v>
      </c>
      <c r="K522" s="3" t="str">
        <f aca="false">Feuil1!K522</f>
        <v>29 (EU) / 18 (MP)</v>
      </c>
      <c r="L522" s="3" t="n">
        <f aca="false">Feuil1!L522</f>
        <v>29</v>
      </c>
      <c r="M522" s="1" t="s">
        <v>17</v>
      </c>
      <c r="N522" s="1" t="s">
        <v>18</v>
      </c>
      <c r="O522" s="1" t="s">
        <v>19</v>
      </c>
      <c r="P522" s="4" t="n">
        <v>45973.466099537</v>
      </c>
      <c r="Q522" s="4" t="n">
        <v>45973.466099537</v>
      </c>
    </row>
    <row r="523" customFormat="false" ht="15" hidden="false" customHeight="false" outlineLevel="0" collapsed="false">
      <c r="A523" s="1" t="str">
        <f aca="false">Feuil1!H523</f>
        <v>54268</v>
      </c>
      <c r="B523" s="1" t="s">
        <v>17</v>
      </c>
      <c r="C523" s="1" t="s">
        <v>17</v>
      </c>
      <c r="D523" s="1" t="s">
        <v>17</v>
      </c>
      <c r="E523" s="1" t="s">
        <v>17</v>
      </c>
      <c r="F523" s="1" t="s">
        <v>17</v>
      </c>
      <c r="G523" s="1" t="s">
        <v>17</v>
      </c>
      <c r="H523" s="1" t="s">
        <v>17</v>
      </c>
      <c r="I523" s="3" t="str">
        <f aca="false">Feuil1!I523</f>
        <v>Chaussures Alpin </v>
      </c>
      <c r="J523" s="3" t="str">
        <f aca="false">Feuil1!J523</f>
        <v>lange rs</v>
      </c>
      <c r="K523" s="3" t="str">
        <f aca="false">Feuil1!K523</f>
        <v>28 (EU) / 17 (MP)</v>
      </c>
      <c r="L523" s="3" t="n">
        <f aca="false">Feuil1!L523</f>
        <v>29</v>
      </c>
      <c r="M523" s="1" t="s">
        <v>17</v>
      </c>
      <c r="N523" s="1" t="s">
        <v>18</v>
      </c>
      <c r="O523" s="1" t="s">
        <v>19</v>
      </c>
      <c r="P523" s="4" t="n">
        <v>45973.466099537</v>
      </c>
      <c r="Q523" s="4" t="n">
        <v>45973.466099537</v>
      </c>
    </row>
    <row r="524" customFormat="false" ht="15" hidden="false" customHeight="false" outlineLevel="0" collapsed="false">
      <c r="A524" s="1" t="str">
        <f aca="false">Feuil1!H524</f>
        <v>54269</v>
      </c>
      <c r="B524" s="1" t="s">
        <v>17</v>
      </c>
      <c r="C524" s="1" t="s">
        <v>17</v>
      </c>
      <c r="D524" s="1" t="s">
        <v>17</v>
      </c>
      <c r="E524" s="1" t="s">
        <v>17</v>
      </c>
      <c r="F524" s="1" t="s">
        <v>17</v>
      </c>
      <c r="G524" s="1" t="s">
        <v>17</v>
      </c>
      <c r="H524" s="1" t="s">
        <v>17</v>
      </c>
      <c r="I524" s="3" t="str">
        <f aca="false">Feuil1!I524</f>
        <v>Chaussures Alpin </v>
      </c>
      <c r="J524" s="3" t="str">
        <f aca="false">Feuil1!J524</f>
        <v>tecnica cochise</v>
      </c>
      <c r="K524" s="3" t="str">
        <f aca="false">Feuil1!K524</f>
        <v>28 (EU) / 17 (MP)</v>
      </c>
      <c r="L524" s="3" t="n">
        <f aca="false">Feuil1!L524</f>
        <v>29</v>
      </c>
      <c r="M524" s="1" t="s">
        <v>17</v>
      </c>
      <c r="N524" s="1" t="s">
        <v>18</v>
      </c>
      <c r="O524" s="1" t="s">
        <v>19</v>
      </c>
      <c r="P524" s="4" t="n">
        <v>45973.466099537</v>
      </c>
      <c r="Q524" s="4" t="n">
        <v>45973.466099537</v>
      </c>
    </row>
    <row r="525" customFormat="false" ht="15" hidden="false" customHeight="false" outlineLevel="0" collapsed="false">
      <c r="A525" s="1" t="str">
        <f aca="false">Feuil1!H525</f>
        <v>54270</v>
      </c>
      <c r="B525" s="1" t="s">
        <v>17</v>
      </c>
      <c r="C525" s="1" t="s">
        <v>17</v>
      </c>
      <c r="D525" s="1" t="s">
        <v>17</v>
      </c>
      <c r="E525" s="1" t="s">
        <v>17</v>
      </c>
      <c r="F525" s="1" t="s">
        <v>17</v>
      </c>
      <c r="G525" s="1" t="s">
        <v>17</v>
      </c>
      <c r="H525" s="1" t="s">
        <v>17</v>
      </c>
      <c r="I525" s="3" t="str">
        <f aca="false">Feuil1!I525</f>
        <v>Chaussures Alpin </v>
      </c>
      <c r="J525" s="3" t="str">
        <f aca="false">Feuil1!J525</f>
        <v>tecnica cochise</v>
      </c>
      <c r="K525" s="3" t="str">
        <f aca="false">Feuil1!K525</f>
        <v>28 (EU) / 17 (MP)</v>
      </c>
      <c r="L525" s="3" t="n">
        <f aca="false">Feuil1!L525</f>
        <v>29</v>
      </c>
      <c r="M525" s="1" t="s">
        <v>17</v>
      </c>
      <c r="N525" s="1" t="s">
        <v>18</v>
      </c>
      <c r="O525" s="1" t="s">
        <v>19</v>
      </c>
      <c r="P525" s="4" t="n">
        <v>45973.466099537</v>
      </c>
      <c r="Q525" s="4" t="n">
        <v>45973.466099537</v>
      </c>
    </row>
    <row r="526" customFormat="false" ht="15" hidden="false" customHeight="false" outlineLevel="0" collapsed="false">
      <c r="A526" s="1" t="str">
        <f aca="false">Feuil1!H526</f>
        <v>54271</v>
      </c>
      <c r="B526" s="1" t="s">
        <v>17</v>
      </c>
      <c r="C526" s="1" t="s">
        <v>17</v>
      </c>
      <c r="D526" s="1" t="s">
        <v>17</v>
      </c>
      <c r="E526" s="1" t="s">
        <v>17</v>
      </c>
      <c r="F526" s="1" t="s">
        <v>17</v>
      </c>
      <c r="G526" s="1" t="s">
        <v>17</v>
      </c>
      <c r="H526" s="1" t="s">
        <v>17</v>
      </c>
      <c r="I526" s="3" t="str">
        <f aca="false">Feuil1!I526</f>
        <v>Chaussures Alpin </v>
      </c>
      <c r="J526" s="3" t="str">
        <f aca="false">Feuil1!J526</f>
        <v>tecnica cochise</v>
      </c>
      <c r="K526" s="3" t="str">
        <f aca="false">Feuil1!K526</f>
        <v>28 (EU) / 17 (MP)</v>
      </c>
      <c r="L526" s="3" t="n">
        <f aca="false">Feuil1!L526</f>
        <v>29</v>
      </c>
      <c r="M526" s="1" t="s">
        <v>17</v>
      </c>
      <c r="N526" s="1" t="s">
        <v>18</v>
      </c>
      <c r="O526" s="1" t="s">
        <v>19</v>
      </c>
      <c r="P526" s="4" t="n">
        <v>45973.466099537</v>
      </c>
      <c r="Q526" s="4" t="n">
        <v>45973.466099537</v>
      </c>
    </row>
    <row r="527" customFormat="false" ht="15" hidden="false" customHeight="false" outlineLevel="0" collapsed="false">
      <c r="A527" s="1" t="str">
        <f aca="false">Feuil1!H527</f>
        <v>54272</v>
      </c>
      <c r="B527" s="1" t="s">
        <v>17</v>
      </c>
      <c r="C527" s="1" t="s">
        <v>17</v>
      </c>
      <c r="D527" s="1" t="s">
        <v>17</v>
      </c>
      <c r="E527" s="1" t="s">
        <v>17</v>
      </c>
      <c r="F527" s="1" t="s">
        <v>17</v>
      </c>
      <c r="G527" s="1" t="s">
        <v>17</v>
      </c>
      <c r="H527" s="1" t="s">
        <v>17</v>
      </c>
      <c r="I527" s="3" t="str">
        <f aca="false">Feuil1!I527</f>
        <v>Chaussures Alpin </v>
      </c>
      <c r="J527" s="3" t="str">
        <f aca="false">Feuil1!J527</f>
        <v>tecnica jr</v>
      </c>
      <c r="K527" s="3" t="str">
        <f aca="false">Feuil1!K527</f>
        <v>28 (EU) / 17 (MP)</v>
      </c>
      <c r="L527" s="3" t="n">
        <f aca="false">Feuil1!L527</f>
        <v>29</v>
      </c>
      <c r="M527" s="1" t="s">
        <v>17</v>
      </c>
      <c r="N527" s="1" t="s">
        <v>18</v>
      </c>
      <c r="O527" s="1" t="s">
        <v>19</v>
      </c>
      <c r="P527" s="4" t="n">
        <v>45973.466099537</v>
      </c>
      <c r="Q527" s="4" t="n">
        <v>45973.466099537</v>
      </c>
    </row>
    <row r="528" customFormat="false" ht="15" hidden="false" customHeight="false" outlineLevel="0" collapsed="false">
      <c r="A528" s="1" t="str">
        <f aca="false">Feuil1!H528</f>
        <v>54273</v>
      </c>
      <c r="B528" s="1" t="s">
        <v>17</v>
      </c>
      <c r="C528" s="1" t="s">
        <v>17</v>
      </c>
      <c r="D528" s="1" t="s">
        <v>17</v>
      </c>
      <c r="E528" s="1" t="s">
        <v>17</v>
      </c>
      <c r="F528" s="1" t="s">
        <v>17</v>
      </c>
      <c r="G528" s="1" t="s">
        <v>17</v>
      </c>
      <c r="H528" s="1" t="s">
        <v>17</v>
      </c>
      <c r="I528" s="3" t="str">
        <f aca="false">Feuil1!I528</f>
        <v>Chaussures Alpin </v>
      </c>
      <c r="J528" s="3" t="str">
        <f aca="false">Feuil1!J528</f>
        <v>nordica jr</v>
      </c>
      <c r="K528" s="3" t="str">
        <f aca="false">Feuil1!K528</f>
        <v>27 (EU) / 17 (MP)</v>
      </c>
      <c r="L528" s="3" t="n">
        <f aca="false">Feuil1!L528</f>
        <v>29</v>
      </c>
      <c r="M528" s="1" t="s">
        <v>17</v>
      </c>
      <c r="N528" s="1" t="s">
        <v>18</v>
      </c>
      <c r="O528" s="1" t="s">
        <v>19</v>
      </c>
      <c r="P528" s="4" t="n">
        <v>45973.466099537</v>
      </c>
      <c r="Q528" s="4" t="n">
        <v>45973.466099537</v>
      </c>
    </row>
    <row r="529" customFormat="false" ht="15" hidden="false" customHeight="false" outlineLevel="0" collapsed="false">
      <c r="A529" s="1" t="str">
        <f aca="false">Feuil1!H529</f>
        <v>54274</v>
      </c>
      <c r="B529" s="1" t="s">
        <v>17</v>
      </c>
      <c r="C529" s="1" t="s">
        <v>17</v>
      </c>
      <c r="D529" s="1" t="s">
        <v>17</v>
      </c>
      <c r="E529" s="1" t="s">
        <v>17</v>
      </c>
      <c r="F529" s="1" t="s">
        <v>17</v>
      </c>
      <c r="G529" s="1" t="s">
        <v>17</v>
      </c>
      <c r="H529" s="1" t="s">
        <v>17</v>
      </c>
      <c r="I529" s="3" t="str">
        <f aca="false">Feuil1!I529</f>
        <v>Chaussures Alpin </v>
      </c>
      <c r="J529" s="3" t="str">
        <f aca="false">Feuil1!J529</f>
        <v>tecnica cochise</v>
      </c>
      <c r="K529" s="3" t="str">
        <f aca="false">Feuil1!K529</f>
        <v>27 (EU) / 17 (MP)</v>
      </c>
      <c r="L529" s="3" t="n">
        <f aca="false">Feuil1!L529</f>
        <v>29</v>
      </c>
      <c r="M529" s="1" t="s">
        <v>17</v>
      </c>
      <c r="N529" s="1" t="s">
        <v>18</v>
      </c>
      <c r="O529" s="1" t="s">
        <v>19</v>
      </c>
      <c r="P529" s="4" t="n">
        <v>45973.466099537</v>
      </c>
      <c r="Q529" s="4" t="n">
        <v>45973.466099537</v>
      </c>
    </row>
    <row r="530" customFormat="false" ht="15" hidden="false" customHeight="false" outlineLevel="0" collapsed="false">
      <c r="A530" s="1" t="str">
        <f aca="false">Feuil1!H530</f>
        <v>54275</v>
      </c>
      <c r="B530" s="1" t="s">
        <v>17</v>
      </c>
      <c r="C530" s="1" t="s">
        <v>17</v>
      </c>
      <c r="D530" s="1" t="s">
        <v>17</v>
      </c>
      <c r="E530" s="1" t="s">
        <v>17</v>
      </c>
      <c r="F530" s="1" t="s">
        <v>17</v>
      </c>
      <c r="G530" s="1" t="s">
        <v>17</v>
      </c>
      <c r="H530" s="1" t="s">
        <v>17</v>
      </c>
      <c r="I530" s="3" t="str">
        <f aca="false">Feuil1!I530</f>
        <v>Chaussures Alpin </v>
      </c>
      <c r="J530" s="3" t="str">
        <f aca="false">Feuil1!J530</f>
        <v>tecnica cochise</v>
      </c>
      <c r="K530" s="3" t="str">
        <f aca="false">Feuil1!K530</f>
        <v>27 (EU) / 17 (MP)</v>
      </c>
      <c r="L530" s="3" t="n">
        <f aca="false">Feuil1!L530</f>
        <v>29</v>
      </c>
      <c r="M530" s="1" t="s">
        <v>17</v>
      </c>
      <c r="N530" s="1" t="s">
        <v>18</v>
      </c>
      <c r="O530" s="1" t="s">
        <v>19</v>
      </c>
      <c r="P530" s="4" t="n">
        <v>45973.466099537</v>
      </c>
      <c r="Q530" s="4" t="n">
        <v>45973.466099537</v>
      </c>
    </row>
    <row r="531" customFormat="false" ht="15" hidden="false" customHeight="false" outlineLevel="0" collapsed="false">
      <c r="A531" s="1" t="str">
        <f aca="false">Feuil1!H531</f>
        <v>54276</v>
      </c>
      <c r="B531" s="1" t="s">
        <v>17</v>
      </c>
      <c r="C531" s="1" t="s">
        <v>17</v>
      </c>
      <c r="D531" s="1" t="s">
        <v>17</v>
      </c>
      <c r="E531" s="1" t="s">
        <v>17</v>
      </c>
      <c r="F531" s="1" t="s">
        <v>17</v>
      </c>
      <c r="G531" s="1" t="s">
        <v>17</v>
      </c>
      <c r="H531" s="1" t="s">
        <v>17</v>
      </c>
      <c r="I531" s="3" t="str">
        <f aca="false">Feuil1!I531</f>
        <v>Chaussures Alpin </v>
      </c>
      <c r="J531" s="3" t="str">
        <f aca="false">Feuil1!J531</f>
        <v>salomon mini</v>
      </c>
      <c r="K531" s="3" t="str">
        <f aca="false">Feuil1!K531</f>
        <v>27 (EU) / 17 (MP)</v>
      </c>
      <c r="L531" s="3" t="n">
        <f aca="false">Feuil1!L531</f>
        <v>19</v>
      </c>
      <c r="M531" s="1" t="s">
        <v>17</v>
      </c>
      <c r="N531" s="1" t="s">
        <v>18</v>
      </c>
      <c r="O531" s="1" t="s">
        <v>19</v>
      </c>
      <c r="P531" s="4" t="n">
        <v>45973.466099537</v>
      </c>
      <c r="Q531" s="4" t="n">
        <v>45973.466099537</v>
      </c>
    </row>
    <row r="532" customFormat="false" ht="15" hidden="false" customHeight="false" outlineLevel="0" collapsed="false">
      <c r="A532" s="1" t="str">
        <f aca="false">Feuil1!H532</f>
        <v>54277</v>
      </c>
      <c r="B532" s="1" t="s">
        <v>17</v>
      </c>
      <c r="C532" s="1" t="s">
        <v>17</v>
      </c>
      <c r="D532" s="1" t="s">
        <v>17</v>
      </c>
      <c r="E532" s="1" t="s">
        <v>17</v>
      </c>
      <c r="F532" s="1" t="s">
        <v>17</v>
      </c>
      <c r="G532" s="1" t="s">
        <v>17</v>
      </c>
      <c r="H532" s="1" t="s">
        <v>17</v>
      </c>
      <c r="I532" s="3" t="str">
        <f aca="false">Feuil1!I532</f>
        <v>Chaussures Alpin </v>
      </c>
      <c r="J532" s="3" t="str">
        <f aca="false">Feuil1!J532</f>
        <v>rossignol mini</v>
      </c>
      <c r="K532" s="3" t="str">
        <f aca="false">Feuil1!K532</f>
        <v>27 (EU) / 17 (MP)</v>
      </c>
      <c r="L532" s="3" t="n">
        <f aca="false">Feuil1!L532</f>
        <v>19</v>
      </c>
      <c r="M532" s="1" t="s">
        <v>17</v>
      </c>
      <c r="N532" s="1" t="s">
        <v>18</v>
      </c>
      <c r="O532" s="1" t="s">
        <v>19</v>
      </c>
      <c r="P532" s="4" t="n">
        <v>45973.466099537</v>
      </c>
      <c r="Q532" s="4" t="n">
        <v>45973.466099537</v>
      </c>
    </row>
    <row r="533" customFormat="false" ht="15" hidden="false" customHeight="false" outlineLevel="0" collapsed="false">
      <c r="A533" s="1" t="str">
        <f aca="false">Feuil1!H533</f>
        <v>54278</v>
      </c>
      <c r="B533" s="1" t="s">
        <v>17</v>
      </c>
      <c r="C533" s="1" t="s">
        <v>17</v>
      </c>
      <c r="D533" s="1" t="s">
        <v>17</v>
      </c>
      <c r="E533" s="1" t="s">
        <v>17</v>
      </c>
      <c r="F533" s="1" t="s">
        <v>17</v>
      </c>
      <c r="G533" s="1" t="s">
        <v>17</v>
      </c>
      <c r="H533" s="1" t="s">
        <v>17</v>
      </c>
      <c r="I533" s="3" t="str">
        <f aca="false">Feuil1!I533</f>
        <v>Chaussures Alpin </v>
      </c>
      <c r="J533" s="3" t="str">
        <f aca="false">Feuil1!J533</f>
        <v>lange mini</v>
      </c>
      <c r="K533" s="3" t="str">
        <f aca="false">Feuil1!K533</f>
        <v>30 (EU) / 19 (MP)</v>
      </c>
      <c r="L533" s="3" t="n">
        <f aca="false">Feuil1!L533</f>
        <v>19</v>
      </c>
      <c r="M533" s="1" t="s">
        <v>17</v>
      </c>
      <c r="N533" s="1" t="s">
        <v>18</v>
      </c>
      <c r="O533" s="1" t="s">
        <v>19</v>
      </c>
      <c r="P533" s="4" t="n">
        <v>45973.466099537</v>
      </c>
      <c r="Q533" s="4" t="n">
        <v>45973.466099537</v>
      </c>
    </row>
    <row r="534" customFormat="false" ht="15" hidden="false" customHeight="false" outlineLevel="0" collapsed="false">
      <c r="A534" s="1" t="str">
        <f aca="false">Feuil1!H534</f>
        <v>54279</v>
      </c>
      <c r="B534" s="1" t="s">
        <v>17</v>
      </c>
      <c r="C534" s="1" t="s">
        <v>17</v>
      </c>
      <c r="D534" s="1" t="s">
        <v>17</v>
      </c>
      <c r="E534" s="1" t="s">
        <v>17</v>
      </c>
      <c r="F534" s="1" t="s">
        <v>17</v>
      </c>
      <c r="G534" s="1" t="s">
        <v>17</v>
      </c>
      <c r="H534" s="1" t="s">
        <v>17</v>
      </c>
      <c r="I534" s="3" t="str">
        <f aca="false">Feuil1!I534</f>
        <v>Chaussures Alpin </v>
      </c>
      <c r="J534" s="3" t="str">
        <f aca="false">Feuil1!J534</f>
        <v>rossignol mini</v>
      </c>
      <c r="K534" s="3" t="str">
        <f aca="false">Feuil1!K534</f>
        <v>30 (EU) / 19 (MP)</v>
      </c>
      <c r="L534" s="3" t="n">
        <f aca="false">Feuil1!L534</f>
        <v>19</v>
      </c>
      <c r="M534" s="1" t="s">
        <v>17</v>
      </c>
      <c r="N534" s="1" t="s">
        <v>18</v>
      </c>
      <c r="O534" s="1" t="s">
        <v>19</v>
      </c>
      <c r="P534" s="4" t="n">
        <v>45973.466099537</v>
      </c>
      <c r="Q534" s="4" t="n">
        <v>45973.466099537</v>
      </c>
    </row>
    <row r="535" customFormat="false" ht="15" hidden="false" customHeight="false" outlineLevel="0" collapsed="false">
      <c r="A535" s="1" t="str">
        <f aca="false">Feuil1!H535</f>
        <v>54280</v>
      </c>
      <c r="B535" s="1" t="s">
        <v>17</v>
      </c>
      <c r="C535" s="1" t="s">
        <v>17</v>
      </c>
      <c r="D535" s="1" t="s">
        <v>17</v>
      </c>
      <c r="E535" s="1" t="s">
        <v>17</v>
      </c>
      <c r="F535" s="1" t="s">
        <v>17</v>
      </c>
      <c r="G535" s="1" t="s">
        <v>17</v>
      </c>
      <c r="H535" s="1" t="s">
        <v>17</v>
      </c>
      <c r="I535" s="3" t="str">
        <f aca="false">Feuil1!I535</f>
        <v>Chaussures Alpin </v>
      </c>
      <c r="J535" s="3" t="str">
        <f aca="false">Feuil1!J535</f>
        <v>rossignol mini</v>
      </c>
      <c r="K535" s="3" t="str">
        <f aca="false">Feuil1!K535</f>
        <v>29 (EU) / 18 (MP)</v>
      </c>
      <c r="L535" s="3" t="n">
        <f aca="false">Feuil1!L535</f>
        <v>19</v>
      </c>
      <c r="M535" s="1" t="s">
        <v>17</v>
      </c>
      <c r="N535" s="1" t="s">
        <v>18</v>
      </c>
      <c r="O535" s="1" t="s">
        <v>19</v>
      </c>
      <c r="P535" s="4" t="n">
        <v>45973.466099537</v>
      </c>
      <c r="Q535" s="4" t="n">
        <v>45973.466099537</v>
      </c>
    </row>
    <row r="536" customFormat="false" ht="15" hidden="false" customHeight="false" outlineLevel="0" collapsed="false">
      <c r="A536" s="1" t="str">
        <f aca="false">Feuil1!H536</f>
        <v>54281</v>
      </c>
      <c r="B536" s="1" t="s">
        <v>17</v>
      </c>
      <c r="C536" s="1" t="s">
        <v>17</v>
      </c>
      <c r="D536" s="1" t="s">
        <v>17</v>
      </c>
      <c r="E536" s="1" t="s">
        <v>17</v>
      </c>
      <c r="F536" s="1" t="s">
        <v>17</v>
      </c>
      <c r="G536" s="1" t="s">
        <v>17</v>
      </c>
      <c r="H536" s="1" t="s">
        <v>17</v>
      </c>
      <c r="I536" s="3" t="str">
        <f aca="false">Feuil1!I536</f>
        <v>Chaussures Alpin </v>
      </c>
      <c r="J536" s="3" t="str">
        <f aca="false">Feuil1!J536</f>
        <v>nordica jr</v>
      </c>
      <c r="K536" s="3" t="str">
        <f aca="false">Feuil1!K536</f>
        <v>27 (EU) / 17 (MP)</v>
      </c>
      <c r="L536" s="3" t="n">
        <f aca="false">Feuil1!L536</f>
        <v>25</v>
      </c>
      <c r="M536" s="1" t="s">
        <v>17</v>
      </c>
      <c r="N536" s="1" t="s">
        <v>18</v>
      </c>
      <c r="O536" s="1" t="s">
        <v>19</v>
      </c>
      <c r="P536" s="4" t="n">
        <v>45973.466099537</v>
      </c>
      <c r="Q536" s="4" t="n">
        <v>45973.466099537</v>
      </c>
    </row>
    <row r="537" customFormat="false" ht="15" hidden="false" customHeight="false" outlineLevel="0" collapsed="false">
      <c r="A537" s="1" t="str">
        <f aca="false">Feuil1!H537</f>
        <v>54282</v>
      </c>
      <c r="B537" s="1" t="s">
        <v>17</v>
      </c>
      <c r="C537" s="1" t="s">
        <v>17</v>
      </c>
      <c r="D537" s="1" t="s">
        <v>17</v>
      </c>
      <c r="E537" s="1" t="s">
        <v>17</v>
      </c>
      <c r="F537" s="1" t="s">
        <v>17</v>
      </c>
      <c r="G537" s="1" t="s">
        <v>17</v>
      </c>
      <c r="H537" s="1" t="s">
        <v>17</v>
      </c>
      <c r="I537" s="3" t="str">
        <f aca="false">Feuil1!I537</f>
        <v>Chaussures Alpin </v>
      </c>
      <c r="J537" s="3" t="str">
        <f aca="false">Feuil1!J537</f>
        <v>rossignol mini</v>
      </c>
      <c r="K537" s="3" t="str">
        <f aca="false">Feuil1!K537</f>
        <v>27 (EU) / 17 (MP)</v>
      </c>
      <c r="L537" s="3" t="n">
        <f aca="false">Feuil1!L537</f>
        <v>19</v>
      </c>
      <c r="M537" s="1" t="s">
        <v>17</v>
      </c>
      <c r="N537" s="1" t="s">
        <v>18</v>
      </c>
      <c r="O537" s="1" t="s">
        <v>19</v>
      </c>
      <c r="P537" s="4" t="n">
        <v>45973.466099537</v>
      </c>
      <c r="Q537" s="4" t="n">
        <v>45973.466099537</v>
      </c>
    </row>
    <row r="538" customFormat="false" ht="15" hidden="false" customHeight="false" outlineLevel="0" collapsed="false">
      <c r="A538" s="1" t="str">
        <f aca="false">Feuil1!H538</f>
        <v>54283</v>
      </c>
      <c r="B538" s="1" t="s">
        <v>17</v>
      </c>
      <c r="C538" s="1" t="s">
        <v>17</v>
      </c>
      <c r="D538" s="1" t="s">
        <v>17</v>
      </c>
      <c r="E538" s="1" t="s">
        <v>17</v>
      </c>
      <c r="F538" s="1" t="s">
        <v>17</v>
      </c>
      <c r="G538" s="1" t="s">
        <v>17</v>
      </c>
      <c r="H538" s="1" t="s">
        <v>17</v>
      </c>
      <c r="I538" s="3" t="str">
        <f aca="false">Feuil1!I538</f>
        <v>Chaussures Alpin </v>
      </c>
      <c r="J538" s="3" t="str">
        <f aca="false">Feuil1!J538</f>
        <v>rossignol mini</v>
      </c>
      <c r="K538" s="3" t="str">
        <f aca="false">Feuil1!K538</f>
        <v>27 (EU) / 17 (MP)</v>
      </c>
      <c r="L538" s="3" t="n">
        <f aca="false">Feuil1!L538</f>
        <v>19</v>
      </c>
      <c r="M538" s="1" t="s">
        <v>17</v>
      </c>
      <c r="N538" s="1" t="s">
        <v>18</v>
      </c>
      <c r="O538" s="1" t="s">
        <v>19</v>
      </c>
      <c r="P538" s="4" t="n">
        <v>45973.466099537</v>
      </c>
      <c r="Q538" s="4" t="n">
        <v>45973.466099537</v>
      </c>
    </row>
    <row r="539" customFormat="false" ht="15" hidden="false" customHeight="false" outlineLevel="0" collapsed="false">
      <c r="A539" s="1" t="str">
        <f aca="false">Feuil1!H539</f>
        <v>54284</v>
      </c>
      <c r="B539" s="1" t="s">
        <v>17</v>
      </c>
      <c r="C539" s="1" t="s">
        <v>17</v>
      </c>
      <c r="D539" s="1" t="s">
        <v>17</v>
      </c>
      <c r="E539" s="1" t="s">
        <v>17</v>
      </c>
      <c r="F539" s="1" t="s">
        <v>17</v>
      </c>
      <c r="G539" s="1" t="s">
        <v>17</v>
      </c>
      <c r="H539" s="1" t="s">
        <v>17</v>
      </c>
      <c r="I539" s="3" t="str">
        <f aca="false">Feuil1!I539</f>
        <v>Chaussures Alpin </v>
      </c>
      <c r="J539" s="3" t="str">
        <f aca="false">Feuil1!J539</f>
        <v>rossignol mini</v>
      </c>
      <c r="K539" s="3" t="str">
        <f aca="false">Feuil1!K539</f>
        <v>26 (EU) / 16 (MP)</v>
      </c>
      <c r="L539" s="3" t="n">
        <f aca="false">Feuil1!L539</f>
        <v>19</v>
      </c>
      <c r="M539" s="1" t="s">
        <v>17</v>
      </c>
      <c r="N539" s="1" t="s">
        <v>18</v>
      </c>
      <c r="O539" s="1" t="s">
        <v>19</v>
      </c>
      <c r="P539" s="4" t="n">
        <v>45973.466099537</v>
      </c>
      <c r="Q539" s="4" t="n">
        <v>45973.466099537</v>
      </c>
    </row>
    <row r="540" customFormat="false" ht="15" hidden="false" customHeight="false" outlineLevel="0" collapsed="false">
      <c r="A540" s="1" t="str">
        <f aca="false">Feuil1!H540</f>
        <v>54285</v>
      </c>
      <c r="B540" s="1" t="s">
        <v>17</v>
      </c>
      <c r="C540" s="1" t="s">
        <v>17</v>
      </c>
      <c r="D540" s="1" t="s">
        <v>17</v>
      </c>
      <c r="E540" s="1" t="s">
        <v>17</v>
      </c>
      <c r="F540" s="1" t="s">
        <v>17</v>
      </c>
      <c r="G540" s="1" t="s">
        <v>17</v>
      </c>
      <c r="H540" s="1" t="s">
        <v>17</v>
      </c>
      <c r="I540" s="3" t="str">
        <f aca="false">Feuil1!I540</f>
        <v>Chaussures Alpin </v>
      </c>
      <c r="J540" s="3" t="str">
        <f aca="false">Feuil1!J540</f>
        <v>head mini</v>
      </c>
      <c r="K540" s="3" t="str">
        <f aca="false">Feuil1!K540</f>
        <v>26 (EU) / 16 (MP)</v>
      </c>
      <c r="L540" s="3" t="n">
        <f aca="false">Feuil1!L540</f>
        <v>19</v>
      </c>
      <c r="M540" s="1" t="s">
        <v>17</v>
      </c>
      <c r="N540" s="1" t="s">
        <v>18</v>
      </c>
      <c r="O540" s="1" t="s">
        <v>19</v>
      </c>
      <c r="P540" s="4" t="n">
        <v>45973.466099537</v>
      </c>
      <c r="Q540" s="4" t="n">
        <v>45973.466099537</v>
      </c>
    </row>
    <row r="541" customFormat="false" ht="15" hidden="false" customHeight="false" outlineLevel="0" collapsed="false">
      <c r="A541" s="1" t="str">
        <f aca="false">Feuil1!H541</f>
        <v>54286</v>
      </c>
      <c r="B541" s="1" t="s">
        <v>17</v>
      </c>
      <c r="C541" s="1" t="s">
        <v>17</v>
      </c>
      <c r="D541" s="1" t="s">
        <v>17</v>
      </c>
      <c r="E541" s="1" t="s">
        <v>17</v>
      </c>
      <c r="F541" s="1" t="s">
        <v>17</v>
      </c>
      <c r="G541" s="1" t="s">
        <v>17</v>
      </c>
      <c r="H541" s="1" t="s">
        <v>17</v>
      </c>
      <c r="I541" s="3" t="str">
        <f aca="false">Feuil1!I541</f>
        <v>Chaussures Alpin </v>
      </c>
      <c r="J541" s="3" t="str">
        <f aca="false">Feuil1!J541</f>
        <v>head mini</v>
      </c>
      <c r="K541" s="3" t="str">
        <f aca="false">Feuil1!K541</f>
        <v>26 (EU) / 16 (MP)</v>
      </c>
      <c r="L541" s="3" t="n">
        <f aca="false">Feuil1!L541</f>
        <v>19</v>
      </c>
      <c r="M541" s="1" t="s">
        <v>17</v>
      </c>
      <c r="N541" s="1" t="s">
        <v>18</v>
      </c>
      <c r="O541" s="1" t="s">
        <v>19</v>
      </c>
      <c r="P541" s="4" t="n">
        <v>45973.466099537</v>
      </c>
      <c r="Q541" s="4" t="n">
        <v>45973.466099537</v>
      </c>
    </row>
    <row r="542" customFormat="false" ht="15" hidden="false" customHeight="false" outlineLevel="0" collapsed="false">
      <c r="A542" s="1" t="str">
        <f aca="false">Feuil1!H542</f>
        <v>54287</v>
      </c>
      <c r="B542" s="1" t="s">
        <v>17</v>
      </c>
      <c r="C542" s="1" t="s">
        <v>17</v>
      </c>
      <c r="D542" s="1" t="s">
        <v>17</v>
      </c>
      <c r="E542" s="1" t="s">
        <v>17</v>
      </c>
      <c r="F542" s="1" t="s">
        <v>17</v>
      </c>
      <c r="G542" s="1" t="s">
        <v>17</v>
      </c>
      <c r="H542" s="1" t="s">
        <v>17</v>
      </c>
      <c r="I542" s="3" t="str">
        <f aca="false">Feuil1!I542</f>
        <v>Chaussures Alpin </v>
      </c>
      <c r="J542" s="3" t="str">
        <f aca="false">Feuil1!J542</f>
        <v>salomon mini</v>
      </c>
      <c r="K542" s="3" t="str">
        <f aca="false">Feuil1!K542</f>
        <v>25 (EU) / 16 (MP)</v>
      </c>
      <c r="L542" s="3" t="n">
        <f aca="false">Feuil1!L542</f>
        <v>19</v>
      </c>
      <c r="M542" s="1" t="s">
        <v>17</v>
      </c>
      <c r="N542" s="1" t="s">
        <v>18</v>
      </c>
      <c r="O542" s="1" t="s">
        <v>19</v>
      </c>
      <c r="P542" s="4" t="n">
        <v>45973.466099537</v>
      </c>
      <c r="Q542" s="4" t="n">
        <v>45973.466099537</v>
      </c>
    </row>
    <row r="543" customFormat="false" ht="15" hidden="false" customHeight="false" outlineLevel="0" collapsed="false">
      <c r="A543" s="1" t="str">
        <f aca="false">Feuil1!H543</f>
        <v>54288</v>
      </c>
      <c r="B543" s="1" t="s">
        <v>17</v>
      </c>
      <c r="C543" s="1" t="s">
        <v>17</v>
      </c>
      <c r="D543" s="1" t="s">
        <v>17</v>
      </c>
      <c r="E543" s="1" t="s">
        <v>17</v>
      </c>
      <c r="F543" s="1" t="s">
        <v>17</v>
      </c>
      <c r="G543" s="1" t="s">
        <v>17</v>
      </c>
      <c r="H543" s="1" t="s">
        <v>17</v>
      </c>
      <c r="I543" s="3" t="str">
        <f aca="false">Feuil1!I543</f>
        <v>Chaussures Alpin </v>
      </c>
      <c r="J543" s="3" t="str">
        <f aca="false">Feuil1!J543</f>
        <v>salomon mini</v>
      </c>
      <c r="K543" s="3" t="str">
        <f aca="false">Feuil1!K543</f>
        <v>25 (EU) / 16 (MP)</v>
      </c>
      <c r="L543" s="3" t="n">
        <f aca="false">Feuil1!L543</f>
        <v>19</v>
      </c>
      <c r="M543" s="1" t="s">
        <v>17</v>
      </c>
      <c r="N543" s="1" t="s">
        <v>18</v>
      </c>
      <c r="O543" s="1" t="s">
        <v>19</v>
      </c>
      <c r="P543" s="4" t="n">
        <v>45973.466099537</v>
      </c>
      <c r="Q543" s="4" t="n">
        <v>45973.466099537</v>
      </c>
    </row>
    <row r="544" customFormat="false" ht="15" hidden="false" customHeight="false" outlineLevel="0" collapsed="false">
      <c r="A544" s="1" t="str">
        <f aca="false">Feuil1!H544</f>
        <v>54289</v>
      </c>
      <c r="B544" s="1" t="s">
        <v>17</v>
      </c>
      <c r="C544" s="1" t="s">
        <v>17</v>
      </c>
      <c r="D544" s="1" t="s">
        <v>17</v>
      </c>
      <c r="E544" s="1" t="s">
        <v>17</v>
      </c>
      <c r="F544" s="1" t="s">
        <v>17</v>
      </c>
      <c r="G544" s="1" t="s">
        <v>17</v>
      </c>
      <c r="H544" s="1" t="s">
        <v>17</v>
      </c>
      <c r="I544" s="3" t="str">
        <f aca="false">Feuil1!I544</f>
        <v>Chaussures Alpin </v>
      </c>
      <c r="J544" s="3" t="str">
        <f aca="false">Feuil1!J544</f>
        <v>rossignol mini</v>
      </c>
      <c r="K544" s="3" t="str">
        <f aca="false">Feuil1!K544</f>
        <v>25 (EU) / 16 (MP)</v>
      </c>
      <c r="L544" s="3" t="n">
        <f aca="false">Feuil1!L544</f>
        <v>19</v>
      </c>
      <c r="M544" s="1" t="s">
        <v>17</v>
      </c>
      <c r="N544" s="1" t="s">
        <v>18</v>
      </c>
      <c r="O544" s="1" t="s">
        <v>19</v>
      </c>
      <c r="P544" s="4" t="n">
        <v>45973.466099537</v>
      </c>
      <c r="Q544" s="4" t="n">
        <v>45973.466099537</v>
      </c>
    </row>
    <row r="545" customFormat="false" ht="15" hidden="false" customHeight="false" outlineLevel="0" collapsed="false">
      <c r="A545" s="1" t="str">
        <f aca="false">Feuil1!H545</f>
        <v>54290</v>
      </c>
      <c r="B545" s="1" t="s">
        <v>17</v>
      </c>
      <c r="C545" s="1" t="s">
        <v>17</v>
      </c>
      <c r="D545" s="1" t="s">
        <v>17</v>
      </c>
      <c r="E545" s="1" t="s">
        <v>17</v>
      </c>
      <c r="F545" s="1" t="s">
        <v>17</v>
      </c>
      <c r="G545" s="1" t="s">
        <v>17</v>
      </c>
      <c r="H545" s="1" t="s">
        <v>17</v>
      </c>
      <c r="I545" s="3" t="str">
        <f aca="false">Feuil1!I545</f>
        <v>Chaussures Alpin </v>
      </c>
      <c r="J545" s="3" t="str">
        <f aca="false">Feuil1!J545</f>
        <v>rossignol mini</v>
      </c>
      <c r="K545" s="3" t="str">
        <f aca="false">Feuil1!K545</f>
        <v>25 (EU) / 16 (MP)</v>
      </c>
      <c r="L545" s="3" t="n">
        <f aca="false">Feuil1!L545</f>
        <v>19</v>
      </c>
      <c r="M545" s="1" t="s">
        <v>17</v>
      </c>
      <c r="N545" s="1" t="s">
        <v>18</v>
      </c>
      <c r="O545" s="1" t="s">
        <v>19</v>
      </c>
      <c r="P545" s="4" t="n">
        <v>45973.466099537</v>
      </c>
      <c r="Q545" s="4" t="n">
        <v>45973.466099537</v>
      </c>
    </row>
    <row r="546" customFormat="false" ht="15" hidden="false" customHeight="false" outlineLevel="0" collapsed="false">
      <c r="A546" s="1" t="str">
        <f aca="false">Feuil1!H546</f>
        <v>54291</v>
      </c>
      <c r="B546" s="1" t="s">
        <v>17</v>
      </c>
      <c r="C546" s="1" t="s">
        <v>17</v>
      </c>
      <c r="D546" s="1" t="s">
        <v>17</v>
      </c>
      <c r="E546" s="1" t="s">
        <v>17</v>
      </c>
      <c r="F546" s="1" t="s">
        <v>17</v>
      </c>
      <c r="G546" s="1" t="s">
        <v>17</v>
      </c>
      <c r="H546" s="1" t="s">
        <v>17</v>
      </c>
      <c r="I546" s="3" t="str">
        <f aca="false">Feuil1!I546</f>
        <v>Chaussures Alpin </v>
      </c>
      <c r="J546" s="3" t="str">
        <f aca="false">Feuil1!J546</f>
        <v>rossignol mini</v>
      </c>
      <c r="K546" s="3" t="str">
        <f aca="false">Feuil1!K546</f>
        <v>25 (EU) / 16 (MP)</v>
      </c>
      <c r="L546" s="3" t="n">
        <f aca="false">Feuil1!L546</f>
        <v>19</v>
      </c>
      <c r="M546" s="1" t="s">
        <v>17</v>
      </c>
      <c r="N546" s="1" t="s">
        <v>18</v>
      </c>
      <c r="O546" s="1" t="s">
        <v>19</v>
      </c>
      <c r="P546" s="4" t="n">
        <v>45973.466099537</v>
      </c>
      <c r="Q546" s="4" t="n">
        <v>45973.466099537</v>
      </c>
    </row>
    <row r="547" customFormat="false" ht="15" hidden="false" customHeight="false" outlineLevel="0" collapsed="false">
      <c r="A547" s="1" t="str">
        <f aca="false">Feuil1!H547</f>
        <v>54458</v>
      </c>
      <c r="B547" s="1" t="s">
        <v>17</v>
      </c>
      <c r="C547" s="1" t="s">
        <v>17</v>
      </c>
      <c r="D547" s="1" t="s">
        <v>17</v>
      </c>
      <c r="E547" s="1" t="s">
        <v>17</v>
      </c>
      <c r="F547" s="1" t="s">
        <v>17</v>
      </c>
      <c r="G547" s="1" t="s">
        <v>17</v>
      </c>
      <c r="H547" s="1" t="s">
        <v>17</v>
      </c>
      <c r="I547" s="3" t="str">
        <f aca="false">Feuil1!I547</f>
        <v>Snowboard (avec fixation)</v>
      </c>
      <c r="J547" s="3" t="str">
        <f aca="false">Feuil1!J547</f>
        <v>nitro smp</v>
      </c>
      <c r="K547" s="3" t="str">
        <f aca="false">Feuil1!K547</f>
        <v>158 cm</v>
      </c>
      <c r="L547" s="3" t="n">
        <f aca="false">Feuil1!L547</f>
        <v>145</v>
      </c>
      <c r="M547" s="1" t="s">
        <v>17</v>
      </c>
      <c r="N547" s="1" t="s">
        <v>18</v>
      </c>
      <c r="O547" s="1" t="s">
        <v>19</v>
      </c>
      <c r="P547" s="4" t="n">
        <v>45973.466099537</v>
      </c>
      <c r="Q547" s="4" t="n">
        <v>45973.466099537</v>
      </c>
    </row>
    <row r="548" customFormat="false" ht="15" hidden="false" customHeight="false" outlineLevel="0" collapsed="false">
      <c r="A548" s="1" t="str">
        <f aca="false">Feuil1!H548</f>
        <v>54461</v>
      </c>
      <c r="B548" s="1" t="s">
        <v>17</v>
      </c>
      <c r="C548" s="1" t="s">
        <v>17</v>
      </c>
      <c r="D548" s="1" t="s">
        <v>17</v>
      </c>
      <c r="E548" s="1" t="s">
        <v>17</v>
      </c>
      <c r="F548" s="1" t="s">
        <v>17</v>
      </c>
      <c r="G548" s="1" t="s">
        <v>17</v>
      </c>
      <c r="H548" s="1" t="s">
        <v>17</v>
      </c>
      <c r="I548" s="3" t="str">
        <f aca="false">Feuil1!I548</f>
        <v>Snowboard (avec fixation)</v>
      </c>
      <c r="J548" s="3" t="str">
        <f aca="false">Feuil1!J548</f>
        <v>nitro team</v>
      </c>
      <c r="K548" s="3" t="str">
        <f aca="false">Feuil1!K548</f>
        <v>157 cm</v>
      </c>
      <c r="L548" s="3" t="n">
        <f aca="false">Feuil1!L548</f>
        <v>125</v>
      </c>
      <c r="M548" s="1" t="s">
        <v>17</v>
      </c>
      <c r="N548" s="1" t="s">
        <v>18</v>
      </c>
      <c r="O548" s="1" t="s">
        <v>19</v>
      </c>
      <c r="P548" s="4" t="n">
        <v>45973.466099537</v>
      </c>
      <c r="Q548" s="4" t="n">
        <v>45973.466099537</v>
      </c>
    </row>
    <row r="549" customFormat="false" ht="15" hidden="false" customHeight="false" outlineLevel="0" collapsed="false">
      <c r="A549" s="1" t="str">
        <f aca="false">Feuil1!H549</f>
        <v>54463</v>
      </c>
      <c r="B549" s="1" t="s">
        <v>17</v>
      </c>
      <c r="C549" s="1" t="s">
        <v>17</v>
      </c>
      <c r="D549" s="1" t="s">
        <v>17</v>
      </c>
      <c r="E549" s="1" t="s">
        <v>17</v>
      </c>
      <c r="F549" s="1" t="s">
        <v>17</v>
      </c>
      <c r="G549" s="1" t="s">
        <v>17</v>
      </c>
      <c r="H549" s="1" t="s">
        <v>17</v>
      </c>
      <c r="I549" s="3" t="str">
        <f aca="false">Feuil1!I549</f>
        <v>Snowboard (avec fixation)</v>
      </c>
      <c r="J549" s="3" t="str">
        <f aca="false">Feuil1!J549</f>
        <v>nitro thrills</v>
      </c>
      <c r="K549" s="3" t="str">
        <f aca="false">Feuil1!K549</f>
        <v>159 cm</v>
      </c>
      <c r="L549" s="3" t="n">
        <f aca="false">Feuil1!L549</f>
        <v>145</v>
      </c>
      <c r="M549" s="1" t="s">
        <v>17</v>
      </c>
      <c r="N549" s="1" t="s">
        <v>18</v>
      </c>
      <c r="O549" s="1" t="s">
        <v>19</v>
      </c>
      <c r="P549" s="4" t="n">
        <v>45973.466099537</v>
      </c>
      <c r="Q549" s="4" t="n">
        <v>45973.466099537</v>
      </c>
    </row>
    <row r="550" customFormat="false" ht="15" hidden="false" customHeight="false" outlineLevel="0" collapsed="false">
      <c r="A550" s="1" t="str">
        <f aca="false">Feuil1!H550</f>
        <v>54464</v>
      </c>
      <c r="B550" s="1" t="s">
        <v>17</v>
      </c>
      <c r="C550" s="1" t="s">
        <v>17</v>
      </c>
      <c r="D550" s="1" t="s">
        <v>17</v>
      </c>
      <c r="E550" s="1" t="s">
        <v>17</v>
      </c>
      <c r="F550" s="1" t="s">
        <v>17</v>
      </c>
      <c r="G550" s="1" t="s">
        <v>17</v>
      </c>
      <c r="H550" s="1" t="s">
        <v>17</v>
      </c>
      <c r="I550" s="3" t="str">
        <f aca="false">Feuil1!I550</f>
        <v>Snowboard (avec fixation)</v>
      </c>
      <c r="J550" s="3" t="str">
        <f aca="false">Feuil1!J550</f>
        <v>nitro thrills</v>
      </c>
      <c r="K550" s="3" t="str">
        <f aca="false">Feuil1!K550</f>
        <v>148 cm</v>
      </c>
      <c r="L550" s="3" t="n">
        <f aca="false">Feuil1!L550</f>
        <v>125</v>
      </c>
      <c r="M550" s="1" t="s">
        <v>17</v>
      </c>
      <c r="N550" s="1" t="s">
        <v>18</v>
      </c>
      <c r="O550" s="1" t="s">
        <v>19</v>
      </c>
      <c r="P550" s="4" t="n">
        <v>45973.466099537</v>
      </c>
      <c r="Q550" s="4" t="n">
        <v>45973.466099537</v>
      </c>
    </row>
    <row r="551" customFormat="false" ht="15" hidden="false" customHeight="false" outlineLevel="0" collapsed="false">
      <c r="A551" s="1" t="str">
        <f aca="false">Feuil1!H551</f>
        <v>54466</v>
      </c>
      <c r="B551" s="1" t="s">
        <v>17</v>
      </c>
      <c r="C551" s="1" t="s">
        <v>17</v>
      </c>
      <c r="D551" s="1" t="s">
        <v>17</v>
      </c>
      <c r="E551" s="1" t="s">
        <v>17</v>
      </c>
      <c r="F551" s="1" t="s">
        <v>17</v>
      </c>
      <c r="G551" s="1" t="s">
        <v>17</v>
      </c>
      <c r="H551" s="1" t="s">
        <v>17</v>
      </c>
      <c r="I551" s="3" t="str">
        <f aca="false">Feuil1!I551</f>
        <v>Snowboard (avec fixation)</v>
      </c>
      <c r="J551" s="3" t="str">
        <f aca="false">Feuil1!J551</f>
        <v>nitro prime</v>
      </c>
      <c r="K551" s="3" t="str">
        <f aca="false">Feuil1!K551</f>
        <v>149 cm</v>
      </c>
      <c r="L551" s="3" t="n">
        <f aca="false">Feuil1!L551</f>
        <v>125</v>
      </c>
      <c r="M551" s="1" t="s">
        <v>17</v>
      </c>
      <c r="N551" s="1" t="s">
        <v>18</v>
      </c>
      <c r="O551" s="1" t="s">
        <v>19</v>
      </c>
      <c r="P551" s="4" t="n">
        <v>45973.466099537</v>
      </c>
      <c r="Q551" s="4" t="n">
        <v>45973.466099537</v>
      </c>
    </row>
    <row r="552" customFormat="false" ht="15" hidden="false" customHeight="false" outlineLevel="0" collapsed="false">
      <c r="A552" s="1" t="str">
        <f aca="false">Feuil1!H552</f>
        <v>54467</v>
      </c>
      <c r="B552" s="1" t="s">
        <v>17</v>
      </c>
      <c r="C552" s="1" t="s">
        <v>17</v>
      </c>
      <c r="D552" s="1" t="s">
        <v>17</v>
      </c>
      <c r="E552" s="1" t="s">
        <v>17</v>
      </c>
      <c r="F552" s="1" t="s">
        <v>17</v>
      </c>
      <c r="G552" s="1" t="s">
        <v>17</v>
      </c>
      <c r="H552" s="1" t="s">
        <v>17</v>
      </c>
      <c r="I552" s="3" t="str">
        <f aca="false">Feuil1!I552</f>
        <v>Snowboard (avec fixation)</v>
      </c>
      <c r="J552" s="3" t="str">
        <f aca="false">Feuil1!J552</f>
        <v>nitro lectra</v>
      </c>
      <c r="K552" s="3" t="str">
        <f aca="false">Feuil1!K552</f>
        <v>146 cm</v>
      </c>
      <c r="L552" s="3" t="n">
        <f aca="false">Feuil1!L552</f>
        <v>139</v>
      </c>
      <c r="M552" s="1" t="s">
        <v>17</v>
      </c>
      <c r="N552" s="1" t="s">
        <v>18</v>
      </c>
      <c r="O552" s="1" t="s">
        <v>19</v>
      </c>
      <c r="P552" s="4" t="n">
        <v>45973.466099537</v>
      </c>
      <c r="Q552" s="4" t="n">
        <v>45973.466099537</v>
      </c>
    </row>
    <row r="553" customFormat="false" ht="15" hidden="false" customHeight="false" outlineLevel="0" collapsed="false">
      <c r="A553" s="1" t="str">
        <f aca="false">Feuil1!H553</f>
        <v>54468</v>
      </c>
      <c r="B553" s="1" t="s">
        <v>17</v>
      </c>
      <c r="C553" s="1" t="s">
        <v>17</v>
      </c>
      <c r="D553" s="1" t="s">
        <v>17</v>
      </c>
      <c r="E553" s="1" t="s">
        <v>17</v>
      </c>
      <c r="F553" s="1" t="s">
        <v>17</v>
      </c>
      <c r="G553" s="1" t="s">
        <v>17</v>
      </c>
      <c r="H553" s="1" t="s">
        <v>17</v>
      </c>
      <c r="I553" s="3" t="str">
        <f aca="false">Feuil1!I553</f>
        <v>Snowboard (avec fixation)</v>
      </c>
      <c r="J553" s="3" t="str">
        <f aca="false">Feuil1!J553</f>
        <v>nitro lectra</v>
      </c>
      <c r="K553" s="3" t="str">
        <f aca="false">Feuil1!K553</f>
        <v>142 cm</v>
      </c>
      <c r="L553" s="3" t="n">
        <f aca="false">Feuil1!L553</f>
        <v>139</v>
      </c>
      <c r="M553" s="1" t="s">
        <v>17</v>
      </c>
      <c r="N553" s="1" t="s">
        <v>18</v>
      </c>
      <c r="O553" s="1" t="s">
        <v>19</v>
      </c>
      <c r="P553" s="4" t="n">
        <v>45973.466099537</v>
      </c>
      <c r="Q553" s="4" t="n">
        <v>45973.466099537</v>
      </c>
    </row>
    <row r="554" customFormat="false" ht="15" hidden="false" customHeight="false" outlineLevel="0" collapsed="false">
      <c r="A554" s="1" t="str">
        <f aca="false">Feuil1!H554</f>
        <v>54471</v>
      </c>
      <c r="B554" s="1" t="s">
        <v>17</v>
      </c>
      <c r="C554" s="1" t="s">
        <v>17</v>
      </c>
      <c r="D554" s="1" t="s">
        <v>17</v>
      </c>
      <c r="E554" s="1" t="s">
        <v>17</v>
      </c>
      <c r="F554" s="1" t="s">
        <v>17</v>
      </c>
      <c r="G554" s="1" t="s">
        <v>17</v>
      </c>
      <c r="H554" s="1" t="s">
        <v>17</v>
      </c>
      <c r="I554" s="3" t="str">
        <f aca="false">Feuil1!I554</f>
        <v>Snowboard (avec fixation)</v>
      </c>
      <c r="J554" s="3" t="str">
        <f aca="false">Feuil1!J554</f>
        <v>rossignol exp</v>
      </c>
      <c r="K554" s="3" t="str">
        <f aca="false">Feuil1!K554</f>
        <v>140 cm</v>
      </c>
      <c r="L554" s="3" t="n">
        <f aca="false">Feuil1!L554</f>
        <v>75</v>
      </c>
      <c r="M554" s="1" t="s">
        <v>17</v>
      </c>
      <c r="N554" s="1" t="s">
        <v>18</v>
      </c>
      <c r="O554" s="1" t="s">
        <v>19</v>
      </c>
      <c r="P554" s="4" t="n">
        <v>45973.466099537</v>
      </c>
      <c r="Q554" s="4" t="n">
        <v>45973.466099537</v>
      </c>
    </row>
    <row r="555" customFormat="false" ht="15" hidden="false" customHeight="false" outlineLevel="0" collapsed="false">
      <c r="A555" s="1" t="str">
        <f aca="false">Feuil1!H555</f>
        <v>54473</v>
      </c>
      <c r="B555" s="1" t="s">
        <v>17</v>
      </c>
      <c r="C555" s="1" t="s">
        <v>17</v>
      </c>
      <c r="D555" s="1" t="s">
        <v>17</v>
      </c>
      <c r="E555" s="1" t="s">
        <v>17</v>
      </c>
      <c r="F555" s="1" t="s">
        <v>17</v>
      </c>
      <c r="G555" s="1" t="s">
        <v>17</v>
      </c>
      <c r="H555" s="1" t="s">
        <v>17</v>
      </c>
      <c r="I555" s="3" t="str">
        <f aca="false">Feuil1!I555</f>
        <v>Snowboard (avec fixation)</v>
      </c>
      <c r="J555" s="3" t="str">
        <f aca="false">Feuil1!J555</f>
        <v>rossignol tesla</v>
      </c>
      <c r="K555" s="3" t="str">
        <f aca="false">Feuil1!K555</f>
        <v>148 cm</v>
      </c>
      <c r="L555" s="3" t="n">
        <f aca="false">Feuil1!L555</f>
        <v>85</v>
      </c>
      <c r="M555" s="1" t="s">
        <v>17</v>
      </c>
      <c r="N555" s="1" t="s">
        <v>18</v>
      </c>
      <c r="O555" s="1" t="s">
        <v>19</v>
      </c>
      <c r="P555" s="4" t="n">
        <v>45973.466099537</v>
      </c>
      <c r="Q555" s="4" t="n">
        <v>45973.466099537</v>
      </c>
    </row>
    <row r="556" customFormat="false" ht="15" hidden="false" customHeight="false" outlineLevel="0" collapsed="false">
      <c r="A556" s="1" t="str">
        <f aca="false">Feuil1!H556</f>
        <v>54475</v>
      </c>
      <c r="B556" s="1" t="s">
        <v>17</v>
      </c>
      <c r="C556" s="1" t="s">
        <v>17</v>
      </c>
      <c r="D556" s="1" t="s">
        <v>17</v>
      </c>
      <c r="E556" s="1" t="s">
        <v>17</v>
      </c>
      <c r="F556" s="1" t="s">
        <v>17</v>
      </c>
      <c r="G556" s="1" t="s">
        <v>17</v>
      </c>
      <c r="H556" s="1" t="s">
        <v>17</v>
      </c>
      <c r="I556" s="3" t="str">
        <f aca="false">Feuil1!I556</f>
        <v>Snowboard (avec fixation)</v>
      </c>
      <c r="J556" s="3" t="str">
        <f aca="false">Feuil1!J556</f>
        <v>rossignol angus</v>
      </c>
      <c r="K556" s="3" t="str">
        <f aca="false">Feuil1!K556</f>
        <v>155 cm</v>
      </c>
      <c r="L556" s="3" t="n">
        <f aca="false">Feuil1!L556</f>
        <v>95</v>
      </c>
      <c r="M556" s="1" t="s">
        <v>17</v>
      </c>
      <c r="N556" s="1" t="s">
        <v>18</v>
      </c>
      <c r="O556" s="1" t="s">
        <v>19</v>
      </c>
      <c r="P556" s="4" t="n">
        <v>45973.466099537</v>
      </c>
      <c r="Q556" s="4" t="n">
        <v>45973.466099537</v>
      </c>
    </row>
    <row r="557" customFormat="false" ht="15" hidden="false" customHeight="false" outlineLevel="0" collapsed="false">
      <c r="A557" s="1" t="str">
        <f aca="false">Feuil1!H557</f>
        <v>54485</v>
      </c>
      <c r="B557" s="1" t="s">
        <v>17</v>
      </c>
      <c r="C557" s="1" t="s">
        <v>17</v>
      </c>
      <c r="D557" s="1" t="s">
        <v>17</v>
      </c>
      <c r="E557" s="1" t="s">
        <v>17</v>
      </c>
      <c r="F557" s="1" t="s">
        <v>17</v>
      </c>
      <c r="G557" s="1" t="s">
        <v>17</v>
      </c>
      <c r="H557" s="1" t="s">
        <v>17</v>
      </c>
      <c r="I557" s="3" t="str">
        <f aca="false">Feuil1!I557</f>
        <v>Skis Alpin </v>
      </c>
      <c r="J557" s="3" t="str">
        <f aca="false">Feuil1!J557</f>
        <v>BlackCrows camoxJr</v>
      </c>
      <c r="K557" s="3" t="str">
        <f aca="false">Feuil1!K557</f>
        <v>157 cm</v>
      </c>
      <c r="L557" s="3" t="n">
        <f aca="false">Feuil1!L557</f>
        <v>245</v>
      </c>
      <c r="M557" s="1" t="s">
        <v>17</v>
      </c>
      <c r="N557" s="1" t="s">
        <v>18</v>
      </c>
      <c r="O557" s="1" t="s">
        <v>19</v>
      </c>
      <c r="P557" s="4" t="n">
        <v>45973.466099537</v>
      </c>
      <c r="Q557" s="4" t="n">
        <v>45973.466099537</v>
      </c>
    </row>
    <row r="558" customFormat="false" ht="15" hidden="false" customHeight="false" outlineLevel="0" collapsed="false">
      <c r="A558" s="1" t="str">
        <f aca="false">Feuil1!H558</f>
        <v>54486</v>
      </c>
      <c r="B558" s="1" t="s">
        <v>17</v>
      </c>
      <c r="C558" s="1" t="s">
        <v>17</v>
      </c>
      <c r="D558" s="1" t="s">
        <v>17</v>
      </c>
      <c r="E558" s="1" t="s">
        <v>17</v>
      </c>
      <c r="F558" s="1" t="s">
        <v>17</v>
      </c>
      <c r="G558" s="1" t="s">
        <v>17</v>
      </c>
      <c r="H558" s="1" t="s">
        <v>17</v>
      </c>
      <c r="I558" s="3" t="str">
        <f aca="false">Feuil1!I558</f>
        <v>Skis Alpin </v>
      </c>
      <c r="J558" s="3" t="str">
        <f aca="false">Feuil1!J558</f>
        <v>BlackCrows vertisB</v>
      </c>
      <c r="K558" s="3" t="str">
        <f aca="false">Feuil1!K558</f>
        <v>152 cm</v>
      </c>
      <c r="L558" s="3" t="n">
        <f aca="false">Feuil1!L558</f>
        <v>445</v>
      </c>
      <c r="M558" s="1" t="s">
        <v>17</v>
      </c>
      <c r="N558" s="1" t="s">
        <v>18</v>
      </c>
      <c r="O558" s="1" t="s">
        <v>19</v>
      </c>
      <c r="P558" s="4" t="n">
        <v>45973.466099537</v>
      </c>
      <c r="Q558" s="4" t="n">
        <v>45973.466099537</v>
      </c>
    </row>
    <row r="559" customFormat="false" ht="15" hidden="false" customHeight="false" outlineLevel="0" collapsed="false">
      <c r="A559" s="1" t="str">
        <f aca="false">Feuil1!H559</f>
        <v>54489</v>
      </c>
      <c r="B559" s="1" t="s">
        <v>17</v>
      </c>
      <c r="C559" s="1" t="s">
        <v>17</v>
      </c>
      <c r="D559" s="1" t="s">
        <v>17</v>
      </c>
      <c r="E559" s="1" t="s">
        <v>17</v>
      </c>
      <c r="F559" s="1" t="s">
        <v>17</v>
      </c>
      <c r="G559" s="1" t="s">
        <v>17</v>
      </c>
      <c r="H559" s="1" t="s">
        <v>17</v>
      </c>
      <c r="I559" s="3" t="str">
        <f aca="false">Feuil1!I559</f>
        <v>Skis Alpin </v>
      </c>
      <c r="J559" s="3" t="str">
        <f aca="false">Feuil1!J559</f>
        <v>BlackCrows serpo</v>
      </c>
      <c r="K559" s="3" t="str">
        <f aca="false">Feuil1!K559</f>
        <v>174 cm</v>
      </c>
      <c r="L559" s="3" t="n">
        <f aca="false">Feuil1!L559</f>
        <v>590</v>
      </c>
      <c r="M559" s="1" t="s">
        <v>17</v>
      </c>
      <c r="N559" s="1" t="s">
        <v>18</v>
      </c>
      <c r="O559" s="1" t="s">
        <v>19</v>
      </c>
      <c r="P559" s="4" t="n">
        <v>45973.466099537</v>
      </c>
      <c r="Q559" s="4" t="n">
        <v>45973.466099537</v>
      </c>
    </row>
    <row r="560" customFormat="false" ht="15" hidden="false" customHeight="false" outlineLevel="0" collapsed="false">
      <c r="A560" s="1" t="str">
        <f aca="false">Feuil1!H560</f>
        <v>54490</v>
      </c>
      <c r="B560" s="1" t="s">
        <v>17</v>
      </c>
      <c r="C560" s="1" t="s">
        <v>17</v>
      </c>
      <c r="D560" s="1" t="s">
        <v>17</v>
      </c>
      <c r="E560" s="1" t="s">
        <v>17</v>
      </c>
      <c r="F560" s="1" t="s">
        <v>17</v>
      </c>
      <c r="G560" s="1" t="s">
        <v>17</v>
      </c>
      <c r="H560" s="1" t="s">
        <v>17</v>
      </c>
      <c r="I560" s="3" t="str">
        <f aca="false">Feuil1!I560</f>
        <v>Skis Alpin </v>
      </c>
      <c r="J560" s="3" t="str">
        <f aca="false">Feuil1!J560</f>
        <v>BlackCrows serpo</v>
      </c>
      <c r="K560" s="3" t="str">
        <f aca="false">Feuil1!K560</f>
        <v>174 cm</v>
      </c>
      <c r="L560" s="3" t="n">
        <f aca="false">Feuil1!L560</f>
        <v>590</v>
      </c>
      <c r="M560" s="1" t="s">
        <v>17</v>
      </c>
      <c r="N560" s="1" t="s">
        <v>18</v>
      </c>
      <c r="O560" s="1" t="s">
        <v>19</v>
      </c>
      <c r="P560" s="4" t="n">
        <v>45973.466099537</v>
      </c>
      <c r="Q560" s="4" t="n">
        <v>45973.466099537</v>
      </c>
    </row>
    <row r="561" customFormat="false" ht="15" hidden="false" customHeight="false" outlineLevel="0" collapsed="false">
      <c r="A561" s="1" t="str">
        <f aca="false">Feuil1!H561</f>
        <v>54492</v>
      </c>
      <c r="B561" s="1" t="s">
        <v>17</v>
      </c>
      <c r="C561" s="1" t="s">
        <v>17</v>
      </c>
      <c r="D561" s="1" t="s">
        <v>17</v>
      </c>
      <c r="E561" s="1" t="s">
        <v>17</v>
      </c>
      <c r="F561" s="1" t="s">
        <v>17</v>
      </c>
      <c r="G561" s="1" t="s">
        <v>17</v>
      </c>
      <c r="H561" s="1" t="s">
        <v>17</v>
      </c>
      <c r="I561" s="3" t="str">
        <f aca="false">Feuil1!I561</f>
        <v>Skis Alpin </v>
      </c>
      <c r="J561" s="3" t="str">
        <f aca="false">Feuil1!J561</f>
        <v>BlackCrows vertis</v>
      </c>
      <c r="K561" s="3" t="str">
        <f aca="false">Feuil1!K561</f>
        <v>170 cm</v>
      </c>
      <c r="L561" s="3" t="n">
        <f aca="false">Feuil1!L561</f>
        <v>445</v>
      </c>
      <c r="M561" s="1" t="s">
        <v>17</v>
      </c>
      <c r="N561" s="1" t="s">
        <v>18</v>
      </c>
      <c r="O561" s="1" t="s">
        <v>19</v>
      </c>
      <c r="P561" s="4" t="n">
        <v>45973.466099537</v>
      </c>
      <c r="Q561" s="4" t="n">
        <v>45973.466099537</v>
      </c>
    </row>
    <row r="562" customFormat="false" ht="15" hidden="false" customHeight="false" outlineLevel="0" collapsed="false">
      <c r="A562" s="1" t="str">
        <f aca="false">Feuil1!H562</f>
        <v>54493</v>
      </c>
      <c r="B562" s="1" t="s">
        <v>17</v>
      </c>
      <c r="C562" s="1" t="s">
        <v>17</v>
      </c>
      <c r="D562" s="1" t="s">
        <v>17</v>
      </c>
      <c r="E562" s="1" t="s">
        <v>17</v>
      </c>
      <c r="F562" s="1" t="s">
        <v>17</v>
      </c>
      <c r="G562" s="1" t="s">
        <v>17</v>
      </c>
      <c r="H562" s="1" t="s">
        <v>17</v>
      </c>
      <c r="I562" s="3" t="str">
        <f aca="false">Feuil1!I562</f>
        <v>Skis Alpin </v>
      </c>
      <c r="J562" s="3" t="str">
        <f aca="false">Feuil1!J562</f>
        <v>BlackCrows atris</v>
      </c>
      <c r="K562" s="3" t="str">
        <f aca="false">Feuil1!K562</f>
        <v>184 cm</v>
      </c>
      <c r="L562" s="3" t="n">
        <f aca="false">Feuil1!L562</f>
        <v>449</v>
      </c>
      <c r="M562" s="1" t="s">
        <v>17</v>
      </c>
      <c r="N562" s="1" t="s">
        <v>18</v>
      </c>
      <c r="O562" s="1" t="s">
        <v>19</v>
      </c>
      <c r="P562" s="4" t="n">
        <v>45973.466099537</v>
      </c>
      <c r="Q562" s="4" t="n">
        <v>45973.466099537</v>
      </c>
    </row>
    <row r="563" customFormat="false" ht="15" hidden="false" customHeight="false" outlineLevel="0" collapsed="false">
      <c r="A563" s="1" t="str">
        <f aca="false">Feuil1!H563</f>
        <v>54533</v>
      </c>
      <c r="B563" s="1" t="s">
        <v>17</v>
      </c>
      <c r="C563" s="1" t="s">
        <v>17</v>
      </c>
      <c r="D563" s="1" t="s">
        <v>17</v>
      </c>
      <c r="E563" s="1" t="s">
        <v>17</v>
      </c>
      <c r="F563" s="1" t="s">
        <v>17</v>
      </c>
      <c r="G563" s="1" t="s">
        <v>17</v>
      </c>
      <c r="H563" s="1" t="s">
        <v>17</v>
      </c>
      <c r="I563" s="3" t="str">
        <f aca="false">Feuil1!I563</f>
        <v>Skis rando</v>
      </c>
      <c r="J563" s="3" t="str">
        <f aca="false">Feuil1!J563</f>
        <v>Altai fiz</v>
      </c>
      <c r="K563" s="3" t="str">
        <f aca="false">Feuil1!K563</f>
        <v>162 cm</v>
      </c>
      <c r="L563" s="3" t="n">
        <f aca="false">Feuil1!L563</f>
        <v>550</v>
      </c>
      <c r="M563" s="1" t="s">
        <v>17</v>
      </c>
      <c r="N563" s="1" t="s">
        <v>18</v>
      </c>
      <c r="O563" s="1" t="s">
        <v>19</v>
      </c>
      <c r="P563" s="4" t="n">
        <v>45973.466099537</v>
      </c>
      <c r="Q563" s="4" t="n">
        <v>45973.466099537</v>
      </c>
    </row>
    <row r="564" customFormat="false" ht="15" hidden="false" customHeight="false" outlineLevel="0" collapsed="false">
      <c r="A564" s="1" t="str">
        <f aca="false">Feuil1!H564</f>
        <v>54540</v>
      </c>
      <c r="B564" s="1" t="s">
        <v>17</v>
      </c>
      <c r="C564" s="1" t="s">
        <v>17</v>
      </c>
      <c r="D564" s="1" t="s">
        <v>17</v>
      </c>
      <c r="E564" s="1" t="s">
        <v>17</v>
      </c>
      <c r="F564" s="1" t="s">
        <v>17</v>
      </c>
      <c r="G564" s="1" t="s">
        <v>17</v>
      </c>
      <c r="H564" s="1" t="s">
        <v>17</v>
      </c>
      <c r="I564" s="3" t="str">
        <f aca="false">Feuil1!I564</f>
        <v>Skis Alpin </v>
      </c>
      <c r="J564" s="3" t="str">
        <f aca="false">Feuil1!J564</f>
        <v>BlackCrows atris</v>
      </c>
      <c r="K564" s="3" t="str">
        <f aca="false">Feuil1!K564</f>
        <v>190 cm</v>
      </c>
      <c r="L564" s="3" t="n">
        <f aca="false">Feuil1!L564</f>
        <v>450</v>
      </c>
      <c r="M564" s="1" t="s">
        <v>17</v>
      </c>
      <c r="N564" s="1" t="s">
        <v>18</v>
      </c>
      <c r="O564" s="1" t="s">
        <v>19</v>
      </c>
      <c r="P564" s="4" t="n">
        <v>45973.466099537</v>
      </c>
      <c r="Q564" s="4" t="n">
        <v>45973.466099537</v>
      </c>
    </row>
    <row r="565" customFormat="false" ht="15" hidden="false" customHeight="false" outlineLevel="0" collapsed="false">
      <c r="A565" s="1" t="str">
        <f aca="false">Feuil1!H565</f>
        <v>54541</v>
      </c>
      <c r="B565" s="1" t="s">
        <v>17</v>
      </c>
      <c r="C565" s="1" t="s">
        <v>17</v>
      </c>
      <c r="D565" s="1" t="s">
        <v>17</v>
      </c>
      <c r="E565" s="1" t="s">
        <v>17</v>
      </c>
      <c r="F565" s="1" t="s">
        <v>17</v>
      </c>
      <c r="G565" s="1" t="s">
        <v>17</v>
      </c>
      <c r="H565" s="1" t="s">
        <v>17</v>
      </c>
      <c r="I565" s="3" t="str">
        <f aca="false">Feuil1!I565</f>
        <v>Skis Alpin </v>
      </c>
      <c r="J565" s="3" t="str">
        <f aca="false">Feuil1!J565</f>
        <v>BlackCrows atris</v>
      </c>
      <c r="K565" s="3" t="str">
        <f aca="false">Feuil1!K565</f>
        <v>184 cm</v>
      </c>
      <c r="L565" s="3" t="n">
        <f aca="false">Feuil1!L565</f>
        <v>540</v>
      </c>
      <c r="M565" s="1" t="s">
        <v>17</v>
      </c>
      <c r="N565" s="1" t="s">
        <v>18</v>
      </c>
      <c r="O565" s="1" t="s">
        <v>19</v>
      </c>
      <c r="P565" s="4" t="n">
        <v>45973.466099537</v>
      </c>
      <c r="Q565" s="4" t="n">
        <v>45973.466099537</v>
      </c>
    </row>
    <row r="566" customFormat="false" ht="15" hidden="false" customHeight="false" outlineLevel="0" collapsed="false">
      <c r="A566" s="1" t="str">
        <f aca="false">Feuil1!H566</f>
        <v>54543</v>
      </c>
      <c r="B566" s="1" t="s">
        <v>17</v>
      </c>
      <c r="C566" s="1" t="s">
        <v>17</v>
      </c>
      <c r="D566" s="1" t="s">
        <v>17</v>
      </c>
      <c r="E566" s="1" t="s">
        <v>17</v>
      </c>
      <c r="F566" s="1" t="s">
        <v>17</v>
      </c>
      <c r="G566" s="1" t="s">
        <v>17</v>
      </c>
      <c r="H566" s="1" t="s">
        <v>17</v>
      </c>
      <c r="I566" s="3" t="str">
        <f aca="false">Feuil1!I566</f>
        <v>Skis Alpin </v>
      </c>
      <c r="J566" s="3" t="str">
        <f aca="false">Feuil1!J566</f>
        <v>BlackCrows atris</v>
      </c>
      <c r="K566" s="3" t="str">
        <f aca="false">Feuil1!K566</f>
        <v>178 cm</v>
      </c>
      <c r="L566" s="3" t="n">
        <f aca="false">Feuil1!L566</f>
        <v>590</v>
      </c>
      <c r="M566" s="1" t="s">
        <v>17</v>
      </c>
      <c r="N566" s="1" t="s">
        <v>18</v>
      </c>
      <c r="O566" s="1" t="s">
        <v>19</v>
      </c>
      <c r="P566" s="4" t="n">
        <v>45973.466099537</v>
      </c>
      <c r="Q566" s="4" t="n">
        <v>45973.466099537</v>
      </c>
    </row>
    <row r="567" customFormat="false" ht="15" hidden="false" customHeight="false" outlineLevel="0" collapsed="false">
      <c r="A567" s="1" t="str">
        <f aca="false">Feuil1!H567</f>
        <v>54549</v>
      </c>
      <c r="B567" s="1" t="s">
        <v>17</v>
      </c>
      <c r="C567" s="1" t="s">
        <v>17</v>
      </c>
      <c r="D567" s="1" t="s">
        <v>17</v>
      </c>
      <c r="E567" s="1" t="s">
        <v>17</v>
      </c>
      <c r="F567" s="1" t="s">
        <v>17</v>
      </c>
      <c r="G567" s="1" t="s">
        <v>17</v>
      </c>
      <c r="H567" s="1" t="s">
        <v>17</v>
      </c>
      <c r="I567" s="3" t="str">
        <f aca="false">Feuil1!I567</f>
        <v>Skis Alpin </v>
      </c>
      <c r="J567" s="3" t="str">
        <f aca="false">Feuil1!J567</f>
        <v>rossignol famous</v>
      </c>
      <c r="K567" s="3" t="str">
        <f aca="false">Feuil1!K567</f>
        <v>142 cm</v>
      </c>
      <c r="L567" s="3" t="n">
        <f aca="false">Feuil1!L567</f>
        <v>110</v>
      </c>
      <c r="M567" s="1" t="s">
        <v>17</v>
      </c>
      <c r="N567" s="1" t="s">
        <v>18</v>
      </c>
      <c r="O567" s="1" t="s">
        <v>19</v>
      </c>
      <c r="P567" s="4" t="n">
        <v>45973.466099537</v>
      </c>
      <c r="Q567" s="4" t="n">
        <v>45973.466099537</v>
      </c>
    </row>
    <row r="568" customFormat="false" ht="15" hidden="false" customHeight="false" outlineLevel="0" collapsed="false">
      <c r="A568" s="1" t="str">
        <f aca="false">Feuil1!H568</f>
        <v>54616</v>
      </c>
      <c r="B568" s="1" t="s">
        <v>17</v>
      </c>
      <c r="C568" s="1" t="s">
        <v>17</v>
      </c>
      <c r="D568" s="1" t="s">
        <v>17</v>
      </c>
      <c r="E568" s="1" t="s">
        <v>17</v>
      </c>
      <c r="F568" s="1" t="s">
        <v>17</v>
      </c>
      <c r="G568" s="1" t="s">
        <v>17</v>
      </c>
      <c r="H568" s="1" t="s">
        <v>17</v>
      </c>
      <c r="I568" s="3" t="str">
        <f aca="false">Feuil1!I568</f>
        <v>Skis Alpin </v>
      </c>
      <c r="J568" s="3" t="str">
        <f aca="false">Feuil1!J568</f>
        <v>rossignol nova</v>
      </c>
      <c r="K568" s="3" t="str">
        <f aca="false">Feuil1!K568</f>
        <v>144 cm</v>
      </c>
      <c r="L568" s="3" t="n">
        <f aca="false">Feuil1!L568</f>
        <v>110</v>
      </c>
      <c r="M568" s="1" t="s">
        <v>17</v>
      </c>
      <c r="N568" s="1" t="s">
        <v>18</v>
      </c>
      <c r="O568" s="1" t="s">
        <v>19</v>
      </c>
      <c r="P568" s="4" t="n">
        <v>45973.466099537</v>
      </c>
      <c r="Q568" s="4" t="n">
        <v>45973.466099537</v>
      </c>
    </row>
    <row r="569" customFormat="false" ht="15" hidden="false" customHeight="false" outlineLevel="0" collapsed="false">
      <c r="A569" s="1" t="str">
        <f aca="false">Feuil1!H569</f>
        <v>54638</v>
      </c>
      <c r="B569" s="1" t="s">
        <v>17</v>
      </c>
      <c r="C569" s="1" t="s">
        <v>17</v>
      </c>
      <c r="D569" s="1" t="s">
        <v>17</v>
      </c>
      <c r="E569" s="1" t="s">
        <v>17</v>
      </c>
      <c r="F569" s="1" t="s">
        <v>17</v>
      </c>
      <c r="G569" s="1" t="s">
        <v>17</v>
      </c>
      <c r="H569" s="1" t="s">
        <v>17</v>
      </c>
      <c r="I569" s="3" t="str">
        <f aca="false">Feuil1!I569</f>
        <v>Chaussures Snowboard</v>
      </c>
      <c r="J569" s="3" t="str">
        <f aca="false">Feuil1!J569</f>
        <v>rossignol </v>
      </c>
      <c r="K569" s="3" t="str">
        <f aca="false">Feuil1!K569</f>
        <v>43 (EU) / 27 (MP)</v>
      </c>
      <c r="L569" s="3" t="n">
        <f aca="false">Feuil1!L569</f>
        <v>35</v>
      </c>
      <c r="M569" s="1" t="s">
        <v>17</v>
      </c>
      <c r="N569" s="1" t="s">
        <v>18</v>
      </c>
      <c r="O569" s="1" t="s">
        <v>19</v>
      </c>
      <c r="P569" s="4" t="n">
        <v>45973.466099537</v>
      </c>
      <c r="Q569" s="4" t="n">
        <v>45973.466099537</v>
      </c>
    </row>
    <row r="570" customFormat="false" ht="15" hidden="false" customHeight="false" outlineLevel="0" collapsed="false">
      <c r="A570" s="1" t="str">
        <f aca="false">Feuil1!H570</f>
        <v>54641</v>
      </c>
      <c r="B570" s="1" t="s">
        <v>17</v>
      </c>
      <c r="C570" s="1" t="s">
        <v>17</v>
      </c>
      <c r="D570" s="1" t="s">
        <v>17</v>
      </c>
      <c r="E570" s="1" t="s">
        <v>17</v>
      </c>
      <c r="F570" s="1" t="s">
        <v>17</v>
      </c>
      <c r="G570" s="1" t="s">
        <v>17</v>
      </c>
      <c r="H570" s="1" t="s">
        <v>17</v>
      </c>
      <c r="I570" s="3" t="str">
        <f aca="false">Feuil1!I570</f>
        <v>Chaussures Snowboard</v>
      </c>
      <c r="J570" s="3" t="str">
        <f aca="false">Feuil1!J570</f>
        <v>Nitro </v>
      </c>
      <c r="K570" s="3" t="str">
        <f aca="false">Feuil1!K570</f>
        <v>37 (EU) / 23 (MP)</v>
      </c>
      <c r="L570" s="3" t="n">
        <f aca="false">Feuil1!L570</f>
        <v>35</v>
      </c>
      <c r="M570" s="1" t="s">
        <v>17</v>
      </c>
      <c r="N570" s="1" t="s">
        <v>18</v>
      </c>
      <c r="O570" s="1" t="s">
        <v>19</v>
      </c>
      <c r="P570" s="4" t="n">
        <v>45973.466099537</v>
      </c>
      <c r="Q570" s="4" t="n">
        <v>45973.466099537</v>
      </c>
    </row>
    <row r="571" customFormat="false" ht="15" hidden="false" customHeight="false" outlineLevel="0" collapsed="false">
      <c r="A571" s="1" t="str">
        <f aca="false">Feuil1!H571</f>
        <v>54642</v>
      </c>
      <c r="B571" s="1" t="s">
        <v>17</v>
      </c>
      <c r="C571" s="1" t="s">
        <v>17</v>
      </c>
      <c r="D571" s="1" t="s">
        <v>17</v>
      </c>
      <c r="E571" s="1" t="s">
        <v>17</v>
      </c>
      <c r="F571" s="1" t="s">
        <v>17</v>
      </c>
      <c r="G571" s="1" t="s">
        <v>17</v>
      </c>
      <c r="H571" s="1" t="s">
        <v>17</v>
      </c>
      <c r="I571" s="3" t="str">
        <f aca="false">Feuil1!I571</f>
        <v>Chaussures Snowboard</v>
      </c>
      <c r="J571" s="3" t="str">
        <f aca="false">Feuil1!J571</f>
        <v>Nitro </v>
      </c>
      <c r="K571" s="3" t="str">
        <f aca="false">Feuil1!K571</f>
        <v>41 (EU) / 26 (MP)</v>
      </c>
      <c r="L571" s="3" t="n">
        <f aca="false">Feuil1!L571</f>
        <v>35</v>
      </c>
      <c r="M571" s="1" t="s">
        <v>17</v>
      </c>
      <c r="N571" s="1" t="s">
        <v>18</v>
      </c>
      <c r="O571" s="1" t="s">
        <v>19</v>
      </c>
      <c r="P571" s="4" t="n">
        <v>45973.466099537</v>
      </c>
      <c r="Q571" s="4" t="n">
        <v>45973.466099537</v>
      </c>
    </row>
    <row r="572" customFormat="false" ht="15" hidden="false" customHeight="false" outlineLevel="0" collapsed="false">
      <c r="A572" s="1" t="str">
        <f aca="false">Feuil1!H572</f>
        <v>54643</v>
      </c>
      <c r="B572" s="1" t="s">
        <v>17</v>
      </c>
      <c r="C572" s="1" t="s">
        <v>17</v>
      </c>
      <c r="D572" s="1" t="s">
        <v>17</v>
      </c>
      <c r="E572" s="1" t="s">
        <v>17</v>
      </c>
      <c r="F572" s="1" t="s">
        <v>17</v>
      </c>
      <c r="G572" s="1" t="s">
        <v>17</v>
      </c>
      <c r="H572" s="1" t="s">
        <v>17</v>
      </c>
      <c r="I572" s="3" t="str">
        <f aca="false">Feuil1!I572</f>
        <v>Chaussures Snowboard</v>
      </c>
      <c r="J572" s="3" t="str">
        <f aca="false">Feuil1!J572</f>
        <v>rossignol </v>
      </c>
      <c r="K572" s="3" t="str">
        <f aca="false">Feuil1!K572</f>
        <v>38 (EU) / 24 (MP)</v>
      </c>
      <c r="L572" s="3" t="n">
        <f aca="false">Feuil1!L572</f>
        <v>35</v>
      </c>
      <c r="M572" s="1" t="s">
        <v>17</v>
      </c>
      <c r="N572" s="1" t="s">
        <v>18</v>
      </c>
      <c r="O572" s="1" t="s">
        <v>19</v>
      </c>
      <c r="P572" s="4" t="n">
        <v>45973.466099537</v>
      </c>
      <c r="Q572" s="4" t="n">
        <v>45973.466099537</v>
      </c>
    </row>
    <row r="573" customFormat="false" ht="15" hidden="false" customHeight="false" outlineLevel="0" collapsed="false">
      <c r="A573" s="1" t="str">
        <f aca="false">Feuil1!H573</f>
        <v>54777</v>
      </c>
      <c r="B573" s="1" t="s">
        <v>17</v>
      </c>
      <c r="C573" s="1" t="s">
        <v>17</v>
      </c>
      <c r="D573" s="1" t="s">
        <v>17</v>
      </c>
      <c r="E573" s="1" t="s">
        <v>17</v>
      </c>
      <c r="F573" s="1" t="s">
        <v>17</v>
      </c>
      <c r="G573" s="1" t="s">
        <v>17</v>
      </c>
      <c r="H573" s="1" t="s">
        <v>17</v>
      </c>
      <c r="I573" s="3" t="str">
        <f aca="false">Feuil1!I573</f>
        <v>Skis Alpin </v>
      </c>
      <c r="J573" s="3" t="str">
        <f aca="false">Feuil1!J573</f>
        <v>BlackCrows vertisB</v>
      </c>
      <c r="K573" s="3" t="str">
        <f aca="false">Feuil1!K573</f>
        <v>159 cm</v>
      </c>
      <c r="L573" s="3" t="n">
        <f aca="false">Feuil1!L573</f>
        <v>445</v>
      </c>
      <c r="M573" s="1" t="s">
        <v>17</v>
      </c>
      <c r="N573" s="1" t="s">
        <v>18</v>
      </c>
      <c r="O573" s="1" t="s">
        <v>19</v>
      </c>
      <c r="P573" s="4" t="n">
        <v>45973.466099537</v>
      </c>
      <c r="Q573" s="4" t="n">
        <v>45973.466099537</v>
      </c>
    </row>
    <row r="574" customFormat="false" ht="15" hidden="false" customHeight="false" outlineLevel="0" collapsed="false">
      <c r="A574" s="1" t="str">
        <f aca="false">Feuil1!H574</f>
        <v>54779</v>
      </c>
      <c r="B574" s="1" t="s">
        <v>17</v>
      </c>
      <c r="C574" s="1" t="s">
        <v>17</v>
      </c>
      <c r="D574" s="1" t="s">
        <v>17</v>
      </c>
      <c r="E574" s="1" t="s">
        <v>17</v>
      </c>
      <c r="F574" s="1" t="s">
        <v>17</v>
      </c>
      <c r="G574" s="1" t="s">
        <v>17</v>
      </c>
      <c r="H574" s="1" t="s">
        <v>17</v>
      </c>
      <c r="I574" s="3" t="str">
        <f aca="false">Feuil1!I574</f>
        <v>Skis Alpin </v>
      </c>
      <c r="J574" s="3" t="str">
        <f aca="false">Feuil1!J574</f>
        <v>BlackCrows vertis</v>
      </c>
      <c r="K574" s="3" t="str">
        <f aca="false">Feuil1!K574</f>
        <v>175 cm</v>
      </c>
      <c r="L574" s="3" t="n">
        <f aca="false">Feuil1!L574</f>
        <v>445</v>
      </c>
      <c r="M574" s="1" t="s">
        <v>17</v>
      </c>
      <c r="N574" s="1" t="s">
        <v>18</v>
      </c>
      <c r="O574" s="1" t="s">
        <v>19</v>
      </c>
      <c r="P574" s="4" t="n">
        <v>45973.466099537</v>
      </c>
      <c r="Q574" s="4" t="n">
        <v>45973.466099537</v>
      </c>
    </row>
    <row r="575" customFormat="false" ht="15" hidden="false" customHeight="false" outlineLevel="0" collapsed="false">
      <c r="A575" s="1" t="str">
        <f aca="false">Feuil1!H575</f>
        <v>54780</v>
      </c>
      <c r="B575" s="1" t="s">
        <v>17</v>
      </c>
      <c r="C575" s="1" t="s">
        <v>17</v>
      </c>
      <c r="D575" s="1" t="s">
        <v>17</v>
      </c>
      <c r="E575" s="1" t="s">
        <v>17</v>
      </c>
      <c r="F575" s="1" t="s">
        <v>17</v>
      </c>
      <c r="G575" s="1" t="s">
        <v>17</v>
      </c>
      <c r="H575" s="1" t="s">
        <v>17</v>
      </c>
      <c r="I575" s="3" t="str">
        <f aca="false">Feuil1!I575</f>
        <v>Skis Alpin </v>
      </c>
      <c r="J575" s="3" t="str">
        <f aca="false">Feuil1!J575</f>
        <v>BlackCrows vertis</v>
      </c>
      <c r="K575" s="3" t="str">
        <f aca="false">Feuil1!K575</f>
        <v>175 cm</v>
      </c>
      <c r="L575" s="3" t="n">
        <f aca="false">Feuil1!L575</f>
        <v>445</v>
      </c>
      <c r="M575" s="1" t="s">
        <v>17</v>
      </c>
      <c r="N575" s="1" t="s">
        <v>18</v>
      </c>
      <c r="O575" s="1" t="s">
        <v>19</v>
      </c>
      <c r="P575" s="4" t="n">
        <v>45973.466099537</v>
      </c>
      <c r="Q575" s="4" t="n">
        <v>45973.466099537</v>
      </c>
    </row>
    <row r="576" customFormat="false" ht="15" hidden="false" customHeight="false" outlineLevel="0" collapsed="false">
      <c r="A576" s="1" t="str">
        <f aca="false">Feuil1!H576</f>
        <v>54786</v>
      </c>
      <c r="B576" s="1" t="s">
        <v>17</v>
      </c>
      <c r="C576" s="1" t="s">
        <v>17</v>
      </c>
      <c r="D576" s="1" t="s">
        <v>17</v>
      </c>
      <c r="E576" s="1" t="s">
        <v>17</v>
      </c>
      <c r="F576" s="1" t="s">
        <v>17</v>
      </c>
      <c r="G576" s="1" t="s">
        <v>17</v>
      </c>
      <c r="H576" s="1" t="s">
        <v>17</v>
      </c>
      <c r="I576" s="3" t="str">
        <f aca="false">Feuil1!I576</f>
        <v>Skis Alpin </v>
      </c>
      <c r="J576" s="3" t="str">
        <f aca="false">Feuil1!J576</f>
        <v>BlackCrows vertisB</v>
      </c>
      <c r="K576" s="3" t="str">
        <f aca="false">Feuil1!K576</f>
        <v>152 cm</v>
      </c>
      <c r="L576" s="3" t="n">
        <f aca="false">Feuil1!L576</f>
        <v>395</v>
      </c>
      <c r="M576" s="1" t="s">
        <v>17</v>
      </c>
      <c r="N576" s="1" t="s">
        <v>18</v>
      </c>
      <c r="O576" s="1" t="s">
        <v>19</v>
      </c>
      <c r="P576" s="4" t="n">
        <v>45973.466099537</v>
      </c>
      <c r="Q576" s="4" t="n">
        <v>45973.466099537</v>
      </c>
    </row>
    <row r="577" customFormat="false" ht="15" hidden="false" customHeight="false" outlineLevel="0" collapsed="false">
      <c r="A577" s="1" t="str">
        <f aca="false">Feuil1!H577</f>
        <v>54787</v>
      </c>
      <c r="B577" s="1" t="s">
        <v>17</v>
      </c>
      <c r="C577" s="1" t="s">
        <v>17</v>
      </c>
      <c r="D577" s="1" t="s">
        <v>17</v>
      </c>
      <c r="E577" s="1" t="s">
        <v>17</v>
      </c>
      <c r="F577" s="1" t="s">
        <v>17</v>
      </c>
      <c r="G577" s="1" t="s">
        <v>17</v>
      </c>
      <c r="H577" s="1" t="s">
        <v>17</v>
      </c>
      <c r="I577" s="3" t="str">
        <f aca="false">Feuil1!I577</f>
        <v>Skis Alpin </v>
      </c>
      <c r="J577" s="3" t="str">
        <f aca="false">Feuil1!J577</f>
        <v>BlackCrows vertisB</v>
      </c>
      <c r="K577" s="3" t="str">
        <f aca="false">Feuil1!K577</f>
        <v>159 cm</v>
      </c>
      <c r="L577" s="3" t="n">
        <f aca="false">Feuil1!L577</f>
        <v>395</v>
      </c>
      <c r="M577" s="1" t="s">
        <v>17</v>
      </c>
      <c r="N577" s="1" t="s">
        <v>18</v>
      </c>
      <c r="O577" s="1" t="s">
        <v>19</v>
      </c>
      <c r="P577" s="4" t="n">
        <v>45973.466099537</v>
      </c>
      <c r="Q577" s="4" t="n">
        <v>45973.466099537</v>
      </c>
    </row>
    <row r="578" customFormat="false" ht="15" hidden="false" customHeight="false" outlineLevel="0" collapsed="false">
      <c r="A578" s="1" t="str">
        <f aca="false">Feuil1!H578</f>
        <v>54789</v>
      </c>
      <c r="B578" s="1" t="s">
        <v>17</v>
      </c>
      <c r="C578" s="1" t="s">
        <v>17</v>
      </c>
      <c r="D578" s="1" t="s">
        <v>17</v>
      </c>
      <c r="E578" s="1" t="s">
        <v>17</v>
      </c>
      <c r="F578" s="1" t="s">
        <v>17</v>
      </c>
      <c r="G578" s="1" t="s">
        <v>17</v>
      </c>
      <c r="H578" s="1" t="s">
        <v>17</v>
      </c>
      <c r="I578" s="3" t="str">
        <f aca="false">Feuil1!I578</f>
        <v>Skis Alpin </v>
      </c>
      <c r="J578" s="3" t="str">
        <f aca="false">Feuil1!J578</f>
        <v>BlackCrows atris</v>
      </c>
      <c r="K578" s="3" t="str">
        <f aca="false">Feuil1!K578</f>
        <v>178 cm</v>
      </c>
      <c r="L578" s="3" t="n">
        <f aca="false">Feuil1!L578</f>
        <v>450</v>
      </c>
      <c r="M578" s="1" t="s">
        <v>17</v>
      </c>
      <c r="N578" s="1" t="s">
        <v>18</v>
      </c>
      <c r="O578" s="1" t="s">
        <v>19</v>
      </c>
      <c r="P578" s="4" t="n">
        <v>45973.466099537</v>
      </c>
      <c r="Q578" s="4" t="n">
        <v>45973.466099537</v>
      </c>
    </row>
    <row r="579" customFormat="false" ht="15" hidden="false" customHeight="false" outlineLevel="0" collapsed="false">
      <c r="A579" s="1" t="str">
        <f aca="false">Feuil1!H579</f>
        <v>54791</v>
      </c>
      <c r="B579" s="1" t="s">
        <v>17</v>
      </c>
      <c r="C579" s="1" t="s">
        <v>17</v>
      </c>
      <c r="D579" s="1" t="s">
        <v>17</v>
      </c>
      <c r="E579" s="1" t="s">
        <v>17</v>
      </c>
      <c r="F579" s="1" t="s">
        <v>17</v>
      </c>
      <c r="G579" s="1" t="s">
        <v>17</v>
      </c>
      <c r="H579" s="1" t="s">
        <v>17</v>
      </c>
      <c r="I579" s="3" t="str">
        <f aca="false">Feuil1!I579</f>
        <v>Skis Alpin </v>
      </c>
      <c r="J579" s="3" t="str">
        <f aca="false">Feuil1!J579</f>
        <v>BlackCrows captis</v>
      </c>
      <c r="K579" s="3" t="str">
        <f aca="false">Feuil1!K579</f>
        <v>184 cm</v>
      </c>
      <c r="L579" s="3" t="n">
        <f aca="false">Feuil1!L579</f>
        <v>425</v>
      </c>
      <c r="M579" s="1" t="s">
        <v>17</v>
      </c>
      <c r="N579" s="1" t="s">
        <v>18</v>
      </c>
      <c r="O579" s="1" t="s">
        <v>19</v>
      </c>
      <c r="P579" s="4" t="n">
        <v>45973.466099537</v>
      </c>
      <c r="Q579" s="4" t="n">
        <v>45973.466099537</v>
      </c>
    </row>
    <row r="580" customFormat="false" ht="15" hidden="false" customHeight="false" outlineLevel="0" collapsed="false">
      <c r="A580" s="1" t="str">
        <f aca="false">Feuil1!H580</f>
        <v>54792</v>
      </c>
      <c r="B580" s="1" t="s">
        <v>17</v>
      </c>
      <c r="C580" s="1" t="s">
        <v>17</v>
      </c>
      <c r="D580" s="1" t="s">
        <v>17</v>
      </c>
      <c r="E580" s="1" t="s">
        <v>17</v>
      </c>
      <c r="F580" s="1" t="s">
        <v>17</v>
      </c>
      <c r="G580" s="1" t="s">
        <v>17</v>
      </c>
      <c r="H580" s="1" t="s">
        <v>17</v>
      </c>
      <c r="I580" s="3" t="str">
        <f aca="false">Feuil1!I580</f>
        <v>Skis Alpin </v>
      </c>
      <c r="J580" s="3" t="str">
        <f aca="false">Feuil1!J580</f>
        <v>BlackCrows vertis</v>
      </c>
      <c r="K580" s="3" t="str">
        <f aca="false">Feuil1!K580</f>
        <v>180 cm</v>
      </c>
      <c r="L580" s="3" t="n">
        <f aca="false">Feuil1!L580</f>
        <v>445</v>
      </c>
      <c r="M580" s="1" t="s">
        <v>17</v>
      </c>
      <c r="N580" s="1" t="s">
        <v>18</v>
      </c>
      <c r="O580" s="1" t="s">
        <v>19</v>
      </c>
      <c r="P580" s="4" t="n">
        <v>45973.466099537</v>
      </c>
      <c r="Q580" s="4" t="n">
        <v>45973.466099537</v>
      </c>
    </row>
    <row r="581" customFormat="false" ht="15" hidden="false" customHeight="false" outlineLevel="0" collapsed="false">
      <c r="A581" s="1" t="str">
        <f aca="false">Feuil1!H581</f>
        <v>54972</v>
      </c>
      <c r="B581" s="1" t="s">
        <v>17</v>
      </c>
      <c r="C581" s="1" t="s">
        <v>17</v>
      </c>
      <c r="D581" s="1" t="s">
        <v>17</v>
      </c>
      <c r="E581" s="1" t="s">
        <v>17</v>
      </c>
      <c r="F581" s="1" t="s">
        <v>17</v>
      </c>
      <c r="G581" s="1" t="s">
        <v>17</v>
      </c>
      <c r="H581" s="1" t="s">
        <v>17</v>
      </c>
      <c r="I581" s="3" t="str">
        <f aca="false">Feuil1!I581</f>
        <v>Skis Alpin </v>
      </c>
      <c r="J581" s="3" t="str">
        <f aca="false">Feuil1!J581</f>
        <v>dynastar intense</v>
      </c>
      <c r="K581" s="3" t="str">
        <f aca="false">Feuil1!K581</f>
        <v>144 cm</v>
      </c>
      <c r="L581" s="3" t="n">
        <f aca="false">Feuil1!L581</f>
        <v>115</v>
      </c>
      <c r="M581" s="1" t="s">
        <v>17</v>
      </c>
      <c r="N581" s="1" t="s">
        <v>18</v>
      </c>
      <c r="O581" s="1" t="s">
        <v>19</v>
      </c>
      <c r="P581" s="4" t="n">
        <v>45973.466099537</v>
      </c>
      <c r="Q581" s="4" t="n">
        <v>45973.466099537</v>
      </c>
    </row>
    <row r="582" customFormat="false" ht="15" hidden="false" customHeight="false" outlineLevel="0" collapsed="false">
      <c r="A582" s="1" t="str">
        <f aca="false">Feuil1!H582</f>
        <v>54979</v>
      </c>
      <c r="B582" s="1" t="s">
        <v>17</v>
      </c>
      <c r="C582" s="1" t="s">
        <v>17</v>
      </c>
      <c r="D582" s="1" t="s">
        <v>17</v>
      </c>
      <c r="E582" s="1" t="s">
        <v>17</v>
      </c>
      <c r="F582" s="1" t="s">
        <v>17</v>
      </c>
      <c r="G582" s="1" t="s">
        <v>17</v>
      </c>
      <c r="H582" s="1" t="s">
        <v>17</v>
      </c>
      <c r="I582" s="3" t="str">
        <f aca="false">Feuil1!I582</f>
        <v>Skis Alpin </v>
      </c>
      <c r="J582" s="3" t="str">
        <f aca="false">Feuil1!J582</f>
        <v>BlackCrows deamon</v>
      </c>
      <c r="K582" s="3" t="str">
        <f aca="false">Feuil1!K582</f>
        <v>177 cm</v>
      </c>
      <c r="L582" s="3" t="n">
        <f aca="false">Feuil1!L582</f>
        <v>445</v>
      </c>
      <c r="M582" s="1" t="s">
        <v>17</v>
      </c>
      <c r="N582" s="1" t="s">
        <v>18</v>
      </c>
      <c r="O582" s="1" t="s">
        <v>19</v>
      </c>
      <c r="P582" s="4" t="n">
        <v>45973.466099537</v>
      </c>
      <c r="Q582" s="4" t="n">
        <v>45973.466099537</v>
      </c>
    </row>
    <row r="583" customFormat="false" ht="15" hidden="false" customHeight="false" outlineLevel="0" collapsed="false">
      <c r="A583" s="1" t="str">
        <f aca="false">Feuil1!H583</f>
        <v>54983</v>
      </c>
      <c r="B583" s="1" t="s">
        <v>17</v>
      </c>
      <c r="C583" s="1" t="s">
        <v>17</v>
      </c>
      <c r="D583" s="1" t="s">
        <v>17</v>
      </c>
      <c r="E583" s="1" t="s">
        <v>17</v>
      </c>
      <c r="F583" s="1" t="s">
        <v>17</v>
      </c>
      <c r="G583" s="1" t="s">
        <v>17</v>
      </c>
      <c r="H583" s="1" t="s">
        <v>17</v>
      </c>
      <c r="I583" s="3" t="str">
        <f aca="false">Feuil1!I583</f>
        <v>Skis Alpin </v>
      </c>
      <c r="J583" s="3" t="str">
        <f aca="false">Feuil1!J583</f>
        <v>BlackCrows vertis</v>
      </c>
      <c r="K583" s="3" t="str">
        <f aca="false">Feuil1!K583</f>
        <v>175 cm</v>
      </c>
      <c r="L583" s="3" t="n">
        <f aca="false">Feuil1!L583</f>
        <v>445</v>
      </c>
      <c r="M583" s="1" t="s">
        <v>17</v>
      </c>
      <c r="N583" s="1" t="s">
        <v>18</v>
      </c>
      <c r="O583" s="1" t="s">
        <v>19</v>
      </c>
      <c r="P583" s="4" t="n">
        <v>45973.466099537</v>
      </c>
      <c r="Q583" s="4" t="n">
        <v>45973.466099537</v>
      </c>
    </row>
    <row r="584" customFormat="false" ht="15" hidden="false" customHeight="false" outlineLevel="0" collapsed="false">
      <c r="A584" s="1" t="str">
        <f aca="false">Feuil1!H584</f>
        <v>54988</v>
      </c>
      <c r="B584" s="1" t="s">
        <v>17</v>
      </c>
      <c r="C584" s="1" t="s">
        <v>17</v>
      </c>
      <c r="D584" s="1" t="s">
        <v>17</v>
      </c>
      <c r="E584" s="1" t="s">
        <v>17</v>
      </c>
      <c r="F584" s="1" t="s">
        <v>17</v>
      </c>
      <c r="G584" s="1" t="s">
        <v>17</v>
      </c>
      <c r="H584" s="1" t="s">
        <v>17</v>
      </c>
      <c r="I584" s="3" t="str">
        <f aca="false">Feuil1!I584</f>
        <v>Skis Alpin </v>
      </c>
      <c r="J584" s="3" t="str">
        <f aca="false">Feuil1!J584</f>
        <v>BlackCrows serpo</v>
      </c>
      <c r="K584" s="3" t="str">
        <f aca="false">Feuil1!K584</f>
        <v>180 cm</v>
      </c>
      <c r="L584" s="3" t="n">
        <f aca="false">Feuil1!L584</f>
        <v>590</v>
      </c>
      <c r="M584" s="1" t="s">
        <v>17</v>
      </c>
      <c r="N584" s="1" t="s">
        <v>18</v>
      </c>
      <c r="O584" s="1" t="s">
        <v>19</v>
      </c>
      <c r="P584" s="4" t="n">
        <v>45973.466099537</v>
      </c>
      <c r="Q584" s="4" t="n">
        <v>45973.466099537</v>
      </c>
    </row>
    <row r="585" customFormat="false" ht="15" hidden="false" customHeight="false" outlineLevel="0" collapsed="false">
      <c r="A585" s="1" t="str">
        <f aca="false">Feuil1!H585</f>
        <v>55002</v>
      </c>
      <c r="B585" s="1" t="s">
        <v>17</v>
      </c>
      <c r="C585" s="1" t="s">
        <v>17</v>
      </c>
      <c r="D585" s="1" t="s">
        <v>17</v>
      </c>
      <c r="E585" s="1" t="s">
        <v>17</v>
      </c>
      <c r="F585" s="1" t="s">
        <v>17</v>
      </c>
      <c r="G585" s="1" t="s">
        <v>17</v>
      </c>
      <c r="H585" s="1" t="s">
        <v>17</v>
      </c>
      <c r="I585" s="3" t="str">
        <f aca="false">Feuil1!I585</f>
        <v>Skis rando</v>
      </c>
      <c r="J585" s="3" t="str">
        <f aca="false">Feuil1!J585</f>
        <v>altai fiz</v>
      </c>
      <c r="K585" s="3" t="str">
        <f aca="false">Feuil1!K585</f>
        <v>178 cm</v>
      </c>
      <c r="L585" s="3" t="n">
        <f aca="false">Feuil1!L585</f>
        <v>575</v>
      </c>
      <c r="M585" s="1" t="s">
        <v>17</v>
      </c>
      <c r="N585" s="1" t="s">
        <v>18</v>
      </c>
      <c r="O585" s="1" t="s">
        <v>19</v>
      </c>
      <c r="P585" s="4" t="n">
        <v>45973.466099537</v>
      </c>
      <c r="Q585" s="4" t="n">
        <v>45973.466099537</v>
      </c>
    </row>
    <row r="586" customFormat="false" ht="15" hidden="false" customHeight="false" outlineLevel="0" collapsed="false">
      <c r="A586" s="1" t="str">
        <f aca="false">Feuil1!H586</f>
        <v>55003</v>
      </c>
      <c r="B586" s="1" t="s">
        <v>17</v>
      </c>
      <c r="C586" s="1" t="s">
        <v>17</v>
      </c>
      <c r="D586" s="1" t="s">
        <v>17</v>
      </c>
      <c r="E586" s="1" t="s">
        <v>17</v>
      </c>
      <c r="F586" s="1" t="s">
        <v>17</v>
      </c>
      <c r="G586" s="1" t="s">
        <v>17</v>
      </c>
      <c r="H586" s="1" t="s">
        <v>17</v>
      </c>
      <c r="I586" s="3" t="str">
        <f aca="false">Feuil1!I586</f>
        <v>Skis rando</v>
      </c>
      <c r="J586" s="3" t="str">
        <f aca="false">Feuil1!J586</f>
        <v>altai fiz</v>
      </c>
      <c r="K586" s="3" t="str">
        <f aca="false">Feuil1!K586</f>
        <v>162 cm</v>
      </c>
      <c r="L586" s="3" t="n">
        <f aca="false">Feuil1!L586</f>
        <v>575</v>
      </c>
      <c r="M586" s="1" t="s">
        <v>17</v>
      </c>
      <c r="N586" s="1" t="s">
        <v>18</v>
      </c>
      <c r="O586" s="1" t="s">
        <v>19</v>
      </c>
      <c r="P586" s="4" t="n">
        <v>45973.466099537</v>
      </c>
      <c r="Q586" s="4" t="n">
        <v>45973.466099537</v>
      </c>
    </row>
    <row r="587" customFormat="false" ht="15" hidden="false" customHeight="false" outlineLevel="0" collapsed="false">
      <c r="A587" s="1" t="str">
        <f aca="false">Feuil1!H587</f>
        <v>55018</v>
      </c>
      <c r="B587" s="1" t="s">
        <v>17</v>
      </c>
      <c r="C587" s="1" t="s">
        <v>17</v>
      </c>
      <c r="D587" s="1" t="s">
        <v>17</v>
      </c>
      <c r="E587" s="1" t="s">
        <v>17</v>
      </c>
      <c r="F587" s="1" t="s">
        <v>17</v>
      </c>
      <c r="G587" s="1" t="s">
        <v>17</v>
      </c>
      <c r="H587" s="1" t="s">
        <v>17</v>
      </c>
      <c r="I587" s="3" t="str">
        <f aca="false">Feuil1!I587</f>
        <v>Chaussures Snowboard</v>
      </c>
      <c r="J587" s="3" t="str">
        <f aca="false">Feuil1!J587</f>
        <v>rossignol boots</v>
      </c>
      <c r="K587" s="3" t="str">
        <f aca="false">Feuil1!K587</f>
        <v>36 (EU) / 23 (MP)</v>
      </c>
      <c r="L587" s="3" t="n">
        <f aca="false">Feuil1!L587</f>
        <v>29</v>
      </c>
      <c r="M587" s="1" t="s">
        <v>17</v>
      </c>
      <c r="N587" s="1" t="s">
        <v>18</v>
      </c>
      <c r="O587" s="1" t="s">
        <v>19</v>
      </c>
      <c r="P587" s="4" t="n">
        <v>45973.466099537</v>
      </c>
      <c r="Q587" s="4" t="n">
        <v>45973.466099537</v>
      </c>
    </row>
    <row r="588" customFormat="false" ht="15" hidden="false" customHeight="false" outlineLevel="0" collapsed="false">
      <c r="A588" s="1" t="str">
        <f aca="false">Feuil1!H588</f>
        <v>55019</v>
      </c>
      <c r="B588" s="1" t="s">
        <v>17</v>
      </c>
      <c r="C588" s="1" t="s">
        <v>17</v>
      </c>
      <c r="D588" s="1" t="s">
        <v>17</v>
      </c>
      <c r="E588" s="1" t="s">
        <v>17</v>
      </c>
      <c r="F588" s="1" t="s">
        <v>17</v>
      </c>
      <c r="G588" s="1" t="s">
        <v>17</v>
      </c>
      <c r="H588" s="1" t="s">
        <v>17</v>
      </c>
      <c r="I588" s="3" t="str">
        <f aca="false">Feuil1!I588</f>
        <v>Chaussures Snowboard</v>
      </c>
      <c r="J588" s="3" t="str">
        <f aca="false">Feuil1!J588</f>
        <v>rossignol boots</v>
      </c>
      <c r="K588" s="3" t="str">
        <f aca="false">Feuil1!K588</f>
        <v>36 (EU) / 23 (MP)</v>
      </c>
      <c r="L588" s="3" t="n">
        <f aca="false">Feuil1!L588</f>
        <v>29</v>
      </c>
      <c r="M588" s="1" t="s">
        <v>17</v>
      </c>
      <c r="N588" s="1" t="s">
        <v>18</v>
      </c>
      <c r="O588" s="1" t="s">
        <v>19</v>
      </c>
      <c r="P588" s="4" t="n">
        <v>45973.466099537</v>
      </c>
      <c r="Q588" s="4" t="n">
        <v>45973.466099537</v>
      </c>
    </row>
    <row r="589" customFormat="false" ht="15" hidden="false" customHeight="false" outlineLevel="0" collapsed="false">
      <c r="A589" s="1" t="str">
        <f aca="false">Feuil1!H589</f>
        <v>55021</v>
      </c>
      <c r="B589" s="1" t="s">
        <v>17</v>
      </c>
      <c r="C589" s="1" t="s">
        <v>17</v>
      </c>
      <c r="D589" s="1" t="s">
        <v>17</v>
      </c>
      <c r="E589" s="1" t="s">
        <v>17</v>
      </c>
      <c r="F589" s="1" t="s">
        <v>17</v>
      </c>
      <c r="G589" s="1" t="s">
        <v>17</v>
      </c>
      <c r="H589" s="1" t="s">
        <v>17</v>
      </c>
      <c r="I589" s="3" t="str">
        <f aca="false">Feuil1!I589</f>
        <v>Chaussures Snowboard</v>
      </c>
      <c r="J589" s="3" t="str">
        <f aca="false">Feuil1!J589</f>
        <v>rossignol boots</v>
      </c>
      <c r="K589" s="3" t="str">
        <f aca="false">Feuil1!K589</f>
        <v>38 (EU) / 24 (MP)</v>
      </c>
      <c r="L589" s="3" t="n">
        <f aca="false">Feuil1!L589</f>
        <v>35</v>
      </c>
      <c r="M589" s="1" t="s">
        <v>17</v>
      </c>
      <c r="N589" s="1" t="s">
        <v>18</v>
      </c>
      <c r="O589" s="1" t="s">
        <v>19</v>
      </c>
      <c r="P589" s="4" t="n">
        <v>45973.466099537</v>
      </c>
      <c r="Q589" s="4" t="n">
        <v>45973.466099537</v>
      </c>
    </row>
    <row r="590" customFormat="false" ht="15" hidden="false" customHeight="false" outlineLevel="0" collapsed="false">
      <c r="A590" s="1" t="str">
        <f aca="false">Feuil1!H590</f>
        <v>55024</v>
      </c>
      <c r="B590" s="1" t="s">
        <v>17</v>
      </c>
      <c r="C590" s="1" t="s">
        <v>17</v>
      </c>
      <c r="D590" s="1" t="s">
        <v>17</v>
      </c>
      <c r="E590" s="1" t="s">
        <v>17</v>
      </c>
      <c r="F590" s="1" t="s">
        <v>17</v>
      </c>
      <c r="G590" s="1" t="s">
        <v>17</v>
      </c>
      <c r="H590" s="1" t="s">
        <v>17</v>
      </c>
      <c r="I590" s="3" t="str">
        <f aca="false">Feuil1!I590</f>
        <v>Chaussures Snowboard</v>
      </c>
      <c r="J590" s="3" t="str">
        <f aca="false">Feuil1!J590</f>
        <v>nitro boots</v>
      </c>
      <c r="K590" s="3" t="str">
        <f aca="false">Feuil1!K590</f>
        <v>39 (EU) / 25 (MP)</v>
      </c>
      <c r="L590" s="3" t="n">
        <f aca="false">Feuil1!L590</f>
        <v>39</v>
      </c>
      <c r="M590" s="1" t="s">
        <v>17</v>
      </c>
      <c r="N590" s="1" t="s">
        <v>18</v>
      </c>
      <c r="O590" s="1" t="s">
        <v>19</v>
      </c>
      <c r="P590" s="4" t="n">
        <v>45973.466099537</v>
      </c>
      <c r="Q590" s="4" t="n">
        <v>45973.466099537</v>
      </c>
    </row>
    <row r="591" customFormat="false" ht="15" hidden="false" customHeight="false" outlineLevel="0" collapsed="false">
      <c r="A591" s="1" t="str">
        <f aca="false">Feuil1!H591</f>
        <v>55028</v>
      </c>
      <c r="B591" s="1" t="s">
        <v>17</v>
      </c>
      <c r="C591" s="1" t="s">
        <v>17</v>
      </c>
      <c r="D591" s="1" t="s">
        <v>17</v>
      </c>
      <c r="E591" s="1" t="s">
        <v>17</v>
      </c>
      <c r="F591" s="1" t="s">
        <v>17</v>
      </c>
      <c r="G591" s="1" t="s">
        <v>17</v>
      </c>
      <c r="H591" s="1" t="s">
        <v>17</v>
      </c>
      <c r="I591" s="3" t="str">
        <f aca="false">Feuil1!I591</f>
        <v>Chaussures Snowboard</v>
      </c>
      <c r="J591" s="3" t="str">
        <f aca="false">Feuil1!J591</f>
        <v>head boots</v>
      </c>
      <c r="K591" s="3" t="str">
        <f aca="false">Feuil1!K591</f>
        <v>44 (EU) / 28 (MP)</v>
      </c>
      <c r="L591" s="3" t="n">
        <f aca="false">Feuil1!L591</f>
        <v>35</v>
      </c>
      <c r="M591" s="1" t="s">
        <v>17</v>
      </c>
      <c r="N591" s="1" t="s">
        <v>18</v>
      </c>
      <c r="O591" s="1" t="s">
        <v>19</v>
      </c>
      <c r="P591" s="4" t="n">
        <v>45973.466099537</v>
      </c>
      <c r="Q591" s="4" t="n">
        <v>45973.466099537</v>
      </c>
    </row>
    <row r="592" customFormat="false" ht="15" hidden="false" customHeight="false" outlineLevel="0" collapsed="false">
      <c r="A592" s="1" t="str">
        <f aca="false">Feuil1!H592</f>
        <v>55029</v>
      </c>
      <c r="B592" s="1" t="s">
        <v>17</v>
      </c>
      <c r="C592" s="1" t="s">
        <v>17</v>
      </c>
      <c r="D592" s="1" t="s">
        <v>17</v>
      </c>
      <c r="E592" s="1" t="s">
        <v>17</v>
      </c>
      <c r="F592" s="1" t="s">
        <v>17</v>
      </c>
      <c r="G592" s="1" t="s">
        <v>17</v>
      </c>
      <c r="H592" s="1" t="s">
        <v>17</v>
      </c>
      <c r="I592" s="3" t="str">
        <f aca="false">Feuil1!I592</f>
        <v>Chaussures Snowboard</v>
      </c>
      <c r="J592" s="3" t="str">
        <f aca="false">Feuil1!J592</f>
        <v>head boots</v>
      </c>
      <c r="K592" s="3" t="str">
        <f aca="false">Feuil1!K592</f>
        <v>46 (EU) / 29 (MP)</v>
      </c>
      <c r="L592" s="3" t="n">
        <f aca="false">Feuil1!L592</f>
        <v>39</v>
      </c>
      <c r="M592" s="1" t="s">
        <v>17</v>
      </c>
      <c r="N592" s="1" t="s">
        <v>18</v>
      </c>
      <c r="O592" s="1" t="s">
        <v>19</v>
      </c>
      <c r="P592" s="4" t="n">
        <v>45973.466099537</v>
      </c>
      <c r="Q592" s="4" t="n">
        <v>45973.466099537</v>
      </c>
    </row>
    <row r="593" customFormat="false" ht="15" hidden="false" customHeight="false" outlineLevel="0" collapsed="false">
      <c r="A593" s="1" t="str">
        <f aca="false">Feuil1!H593</f>
        <v>55031</v>
      </c>
      <c r="B593" s="1" t="s">
        <v>17</v>
      </c>
      <c r="C593" s="1" t="s">
        <v>17</v>
      </c>
      <c r="D593" s="1" t="s">
        <v>17</v>
      </c>
      <c r="E593" s="1" t="s">
        <v>17</v>
      </c>
      <c r="F593" s="1" t="s">
        <v>17</v>
      </c>
      <c r="G593" s="1" t="s">
        <v>17</v>
      </c>
      <c r="H593" s="1" t="s">
        <v>17</v>
      </c>
      <c r="I593" s="3" t="str">
        <f aca="false">Feuil1!I593</f>
        <v>Skis rando</v>
      </c>
      <c r="J593" s="3" t="str">
        <f aca="false">Feuil1!J593</f>
        <v>fiz altai</v>
      </c>
      <c r="K593" s="3" t="str">
        <f aca="false">Feuil1!K593</f>
        <v>162 cm</v>
      </c>
      <c r="L593" s="3" t="n">
        <f aca="false">Feuil1!L593</f>
        <v>550</v>
      </c>
      <c r="M593" s="1" t="s">
        <v>17</v>
      </c>
      <c r="N593" s="1" t="s">
        <v>18</v>
      </c>
      <c r="O593" s="1" t="s">
        <v>19</v>
      </c>
      <c r="P593" s="4" t="n">
        <v>45973.466099537</v>
      </c>
      <c r="Q593" s="4" t="n">
        <v>45973.466099537</v>
      </c>
    </row>
    <row r="594" customFormat="false" ht="15" hidden="false" customHeight="false" outlineLevel="0" collapsed="false">
      <c r="A594" s="1" t="str">
        <f aca="false">Feuil1!H594</f>
        <v>55032</v>
      </c>
      <c r="B594" s="1" t="s">
        <v>17</v>
      </c>
      <c r="C594" s="1" t="s">
        <v>17</v>
      </c>
      <c r="D594" s="1" t="s">
        <v>17</v>
      </c>
      <c r="E594" s="1" t="s">
        <v>17</v>
      </c>
      <c r="F594" s="1" t="s">
        <v>17</v>
      </c>
      <c r="G594" s="1" t="s">
        <v>17</v>
      </c>
      <c r="H594" s="1" t="s">
        <v>17</v>
      </c>
      <c r="I594" s="3" t="str">
        <f aca="false">Feuil1!I594</f>
        <v>Skis rando</v>
      </c>
      <c r="J594" s="3" t="str">
        <f aca="false">Feuil1!J594</f>
        <v>fiz altai</v>
      </c>
      <c r="K594" s="3" t="str">
        <f aca="false">Feuil1!K594</f>
        <v>178 cm</v>
      </c>
      <c r="L594" s="3" t="n">
        <f aca="false">Feuil1!L594</f>
        <v>575</v>
      </c>
      <c r="M594" s="1" t="s">
        <v>17</v>
      </c>
      <c r="N594" s="1" t="s">
        <v>18</v>
      </c>
      <c r="O594" s="1" t="s">
        <v>19</v>
      </c>
      <c r="P594" s="4" t="n">
        <v>45973.466099537</v>
      </c>
      <c r="Q594" s="4" t="n">
        <v>45973.466099537</v>
      </c>
    </row>
    <row r="595" customFormat="false" ht="15" hidden="false" customHeight="false" outlineLevel="0" collapsed="false">
      <c r="A595" s="1" t="str">
        <f aca="false">Feuil1!H595</f>
        <v>55040</v>
      </c>
      <c r="B595" s="1" t="s">
        <v>17</v>
      </c>
      <c r="C595" s="1" t="s">
        <v>17</v>
      </c>
      <c r="D595" s="1" t="s">
        <v>17</v>
      </c>
      <c r="E595" s="1" t="s">
        <v>17</v>
      </c>
      <c r="F595" s="1" t="s">
        <v>17</v>
      </c>
      <c r="G595" s="1" t="s">
        <v>17</v>
      </c>
      <c r="H595" s="1" t="s">
        <v>17</v>
      </c>
      <c r="I595" s="3" t="str">
        <f aca="false">Feuil1!I595</f>
        <v>Skis Alpin </v>
      </c>
      <c r="J595" s="3" t="str">
        <f aca="false">Feuil1!J595</f>
        <v>BlackCrows vertis b</v>
      </c>
      <c r="K595" s="3" t="str">
        <f aca="false">Feuil1!K595</f>
        <v>152 cm</v>
      </c>
      <c r="L595" s="3" t="n">
        <f aca="false">Feuil1!L595</f>
        <v>395</v>
      </c>
      <c r="M595" s="1" t="s">
        <v>17</v>
      </c>
      <c r="N595" s="1" t="s">
        <v>18</v>
      </c>
      <c r="O595" s="1" t="s">
        <v>19</v>
      </c>
      <c r="P595" s="4" t="n">
        <v>45973.466099537</v>
      </c>
      <c r="Q595" s="4" t="n">
        <v>45973.466099537</v>
      </c>
    </row>
    <row r="596" customFormat="false" ht="15" hidden="false" customHeight="false" outlineLevel="0" collapsed="false">
      <c r="A596" s="1" t="str">
        <f aca="false">Feuil1!H596</f>
        <v>55042</v>
      </c>
      <c r="B596" s="1" t="s">
        <v>17</v>
      </c>
      <c r="C596" s="1" t="s">
        <v>17</v>
      </c>
      <c r="D596" s="1" t="s">
        <v>17</v>
      </c>
      <c r="E596" s="1" t="s">
        <v>17</v>
      </c>
      <c r="F596" s="1" t="s">
        <v>17</v>
      </c>
      <c r="G596" s="1" t="s">
        <v>17</v>
      </c>
      <c r="H596" s="1" t="s">
        <v>17</v>
      </c>
      <c r="I596" s="3" t="str">
        <f aca="false">Feuil1!I596</f>
        <v>Skis Alpin </v>
      </c>
      <c r="J596" s="3" t="str">
        <f aca="false">Feuil1!J596</f>
        <v>BlackCrows vertis b</v>
      </c>
      <c r="K596" s="3" t="str">
        <f aca="false">Feuil1!K596</f>
        <v>152 cm</v>
      </c>
      <c r="L596" s="3" t="n">
        <f aca="false">Feuil1!L596</f>
        <v>445</v>
      </c>
      <c r="M596" s="1" t="s">
        <v>17</v>
      </c>
      <c r="N596" s="1" t="s">
        <v>18</v>
      </c>
      <c r="O596" s="1" t="s">
        <v>19</v>
      </c>
      <c r="P596" s="4" t="n">
        <v>45973.466099537</v>
      </c>
      <c r="Q596" s="4" t="n">
        <v>45973.466099537</v>
      </c>
    </row>
    <row r="597" customFormat="false" ht="15" hidden="false" customHeight="false" outlineLevel="0" collapsed="false">
      <c r="A597" s="1" t="str">
        <f aca="false">Feuil1!H597</f>
        <v>55055</v>
      </c>
      <c r="B597" s="1" t="s">
        <v>17</v>
      </c>
      <c r="C597" s="1" t="s">
        <v>17</v>
      </c>
      <c r="D597" s="1" t="s">
        <v>17</v>
      </c>
      <c r="E597" s="1" t="s">
        <v>17</v>
      </c>
      <c r="F597" s="1" t="s">
        <v>17</v>
      </c>
      <c r="G597" s="1" t="s">
        <v>17</v>
      </c>
      <c r="H597" s="1" t="s">
        <v>17</v>
      </c>
      <c r="I597" s="3" t="str">
        <f aca="false">Feuil1!I597</f>
        <v>Skis Alpin </v>
      </c>
      <c r="J597" s="3" t="str">
        <f aca="false">Feuil1!J597</f>
        <v>BlackCrows vertis</v>
      </c>
      <c r="K597" s="3" t="str">
        <f aca="false">Feuil1!K597</f>
        <v>170 cm</v>
      </c>
      <c r="L597" s="3" t="n">
        <f aca="false">Feuil1!L597</f>
        <v>425</v>
      </c>
      <c r="M597" s="1" t="s">
        <v>17</v>
      </c>
      <c r="N597" s="1" t="s">
        <v>18</v>
      </c>
      <c r="O597" s="1" t="s">
        <v>19</v>
      </c>
      <c r="P597" s="4" t="n">
        <v>45973.466099537</v>
      </c>
      <c r="Q597" s="4" t="n">
        <v>45973.466099537</v>
      </c>
    </row>
    <row r="598" customFormat="false" ht="15" hidden="false" customHeight="false" outlineLevel="0" collapsed="false">
      <c r="A598" s="1" t="str">
        <f aca="false">Feuil1!H598</f>
        <v>55056</v>
      </c>
      <c r="B598" s="1" t="s">
        <v>17</v>
      </c>
      <c r="C598" s="1" t="s">
        <v>17</v>
      </c>
      <c r="D598" s="1" t="s">
        <v>17</v>
      </c>
      <c r="E598" s="1" t="s">
        <v>17</v>
      </c>
      <c r="F598" s="1" t="s">
        <v>17</v>
      </c>
      <c r="G598" s="1" t="s">
        <v>17</v>
      </c>
      <c r="H598" s="1" t="s">
        <v>17</v>
      </c>
      <c r="I598" s="3" t="str">
        <f aca="false">Feuil1!I598</f>
        <v>Skis Alpin </v>
      </c>
      <c r="J598" s="3" t="str">
        <f aca="false">Feuil1!J598</f>
        <v>BlackCrows vertis</v>
      </c>
      <c r="K598" s="3" t="str">
        <f aca="false">Feuil1!K598</f>
        <v>170 cm</v>
      </c>
      <c r="L598" s="3" t="n">
        <f aca="false">Feuil1!L598</f>
        <v>445</v>
      </c>
      <c r="M598" s="1" t="s">
        <v>17</v>
      </c>
      <c r="N598" s="1" t="s">
        <v>18</v>
      </c>
      <c r="O598" s="1" t="s">
        <v>19</v>
      </c>
      <c r="P598" s="4" t="n">
        <v>45973.466099537</v>
      </c>
      <c r="Q598" s="4" t="n">
        <v>45973.466099537</v>
      </c>
    </row>
    <row r="599" customFormat="false" ht="15" hidden="false" customHeight="false" outlineLevel="0" collapsed="false">
      <c r="A599" s="1" t="str">
        <f aca="false">Feuil1!H599</f>
        <v>55057</v>
      </c>
      <c r="B599" s="1" t="s">
        <v>17</v>
      </c>
      <c r="C599" s="1" t="s">
        <v>17</v>
      </c>
      <c r="D599" s="1" t="s">
        <v>17</v>
      </c>
      <c r="E599" s="1" t="s">
        <v>17</v>
      </c>
      <c r="F599" s="1" t="s">
        <v>17</v>
      </c>
      <c r="G599" s="1" t="s">
        <v>17</v>
      </c>
      <c r="H599" s="1" t="s">
        <v>17</v>
      </c>
      <c r="I599" s="3" t="str">
        <f aca="false">Feuil1!I599</f>
        <v>Skis Alpin </v>
      </c>
      <c r="J599" s="3" t="str">
        <f aca="false">Feuil1!J599</f>
        <v>BlackCrows vertis</v>
      </c>
      <c r="K599" s="3" t="str">
        <f aca="false">Feuil1!K599</f>
        <v>180 cm</v>
      </c>
      <c r="L599" s="3" t="n">
        <f aca="false">Feuil1!L599</f>
        <v>425</v>
      </c>
      <c r="M599" s="1" t="s">
        <v>17</v>
      </c>
      <c r="N599" s="1" t="s">
        <v>18</v>
      </c>
      <c r="O599" s="1" t="s">
        <v>19</v>
      </c>
      <c r="P599" s="4" t="n">
        <v>45973.466099537</v>
      </c>
      <c r="Q599" s="4" t="n">
        <v>45973.466099537</v>
      </c>
    </row>
    <row r="600" customFormat="false" ht="15" hidden="false" customHeight="false" outlineLevel="0" collapsed="false">
      <c r="A600" s="1" t="str">
        <f aca="false">Feuil1!H600</f>
        <v>55058</v>
      </c>
      <c r="B600" s="1" t="s">
        <v>17</v>
      </c>
      <c r="C600" s="1" t="s">
        <v>17</v>
      </c>
      <c r="D600" s="1" t="s">
        <v>17</v>
      </c>
      <c r="E600" s="1" t="s">
        <v>17</v>
      </c>
      <c r="F600" s="1" t="s">
        <v>17</v>
      </c>
      <c r="G600" s="1" t="s">
        <v>17</v>
      </c>
      <c r="H600" s="1" t="s">
        <v>17</v>
      </c>
      <c r="I600" s="3" t="str">
        <f aca="false">Feuil1!I600</f>
        <v>Skis Alpin </v>
      </c>
      <c r="J600" s="3" t="str">
        <f aca="false">Feuil1!J600</f>
        <v>BlackCrows vertisB</v>
      </c>
      <c r="K600" s="3" t="str">
        <f aca="false">Feuil1!K600</f>
        <v>159 cm</v>
      </c>
      <c r="L600" s="3" t="n">
        <f aca="false">Feuil1!L600</f>
        <v>395</v>
      </c>
      <c r="M600" s="1" t="s">
        <v>17</v>
      </c>
      <c r="N600" s="1" t="s">
        <v>18</v>
      </c>
      <c r="O600" s="1" t="s">
        <v>19</v>
      </c>
      <c r="P600" s="4" t="n">
        <v>45973.466099537</v>
      </c>
      <c r="Q600" s="4" t="n">
        <v>45973.466099537</v>
      </c>
    </row>
    <row r="601" customFormat="false" ht="15" hidden="false" customHeight="false" outlineLevel="0" collapsed="false">
      <c r="A601" s="1" t="str">
        <f aca="false">Feuil1!H601</f>
        <v>55059</v>
      </c>
      <c r="B601" s="1" t="s">
        <v>17</v>
      </c>
      <c r="C601" s="1" t="s">
        <v>17</v>
      </c>
      <c r="D601" s="1" t="s">
        <v>17</v>
      </c>
      <c r="E601" s="1" t="s">
        <v>17</v>
      </c>
      <c r="F601" s="1" t="s">
        <v>17</v>
      </c>
      <c r="G601" s="1" t="s">
        <v>17</v>
      </c>
      <c r="H601" s="1" t="s">
        <v>17</v>
      </c>
      <c r="I601" s="3" t="str">
        <f aca="false">Feuil1!I601</f>
        <v>Skis Alpin </v>
      </c>
      <c r="J601" s="3" t="str">
        <f aca="false">Feuil1!J601</f>
        <v>BlackCrows vertisB</v>
      </c>
      <c r="K601" s="3" t="str">
        <f aca="false">Feuil1!K601</f>
        <v>159 cm</v>
      </c>
      <c r="L601" s="3" t="n">
        <f aca="false">Feuil1!L601</f>
        <v>445</v>
      </c>
      <c r="M601" s="1" t="s">
        <v>17</v>
      </c>
      <c r="N601" s="1" t="s">
        <v>18</v>
      </c>
      <c r="O601" s="1" t="s">
        <v>19</v>
      </c>
      <c r="P601" s="4" t="n">
        <v>45973.466099537</v>
      </c>
      <c r="Q601" s="4" t="n">
        <v>45973.466099537</v>
      </c>
    </row>
    <row r="602" customFormat="false" ht="15" hidden="false" customHeight="false" outlineLevel="0" collapsed="false">
      <c r="A602" s="1" t="str">
        <f aca="false">Feuil1!H602</f>
        <v>55060</v>
      </c>
      <c r="B602" s="1" t="s">
        <v>17</v>
      </c>
      <c r="C602" s="1" t="s">
        <v>17</v>
      </c>
      <c r="D602" s="1" t="s">
        <v>17</v>
      </c>
      <c r="E602" s="1" t="s">
        <v>17</v>
      </c>
      <c r="F602" s="1" t="s">
        <v>17</v>
      </c>
      <c r="G602" s="1" t="s">
        <v>17</v>
      </c>
      <c r="H602" s="1" t="s">
        <v>17</v>
      </c>
      <c r="I602" s="3" t="str">
        <f aca="false">Feuil1!I602</f>
        <v>Skis Alpin </v>
      </c>
      <c r="J602" s="3" t="str">
        <f aca="false">Feuil1!J602</f>
        <v>BlackCrows vertisB</v>
      </c>
      <c r="K602" s="3" t="str">
        <f aca="false">Feuil1!K602</f>
        <v>169 cm</v>
      </c>
      <c r="L602" s="3" t="n">
        <f aca="false">Feuil1!L602</f>
        <v>445</v>
      </c>
      <c r="M602" s="1" t="s">
        <v>17</v>
      </c>
      <c r="N602" s="1" t="s">
        <v>18</v>
      </c>
      <c r="O602" s="1" t="s">
        <v>19</v>
      </c>
      <c r="P602" s="4" t="n">
        <v>45973.466099537</v>
      </c>
      <c r="Q602" s="4" t="n">
        <v>45973.466099537</v>
      </c>
    </row>
    <row r="603" customFormat="false" ht="15" hidden="false" customHeight="false" outlineLevel="0" collapsed="false">
      <c r="A603" s="1" t="str">
        <f aca="false">Feuil1!H603</f>
        <v>55061</v>
      </c>
      <c r="B603" s="1" t="s">
        <v>17</v>
      </c>
      <c r="C603" s="1" t="s">
        <v>17</v>
      </c>
      <c r="D603" s="1" t="s">
        <v>17</v>
      </c>
      <c r="E603" s="1" t="s">
        <v>17</v>
      </c>
      <c r="F603" s="1" t="s">
        <v>17</v>
      </c>
      <c r="G603" s="1" t="s">
        <v>17</v>
      </c>
      <c r="H603" s="1" t="s">
        <v>17</v>
      </c>
      <c r="I603" s="3" t="str">
        <f aca="false">Feuil1!I603</f>
        <v>Skis Alpin </v>
      </c>
      <c r="J603" s="3" t="str">
        <f aca="false">Feuil1!J603</f>
        <v>BlackCrows vertisB</v>
      </c>
      <c r="K603" s="3" t="str">
        <f aca="false">Feuil1!K603</f>
        <v>169 cm</v>
      </c>
      <c r="L603" s="3" t="n">
        <f aca="false">Feuil1!L603</f>
        <v>445</v>
      </c>
      <c r="M603" s="1" t="s">
        <v>17</v>
      </c>
      <c r="N603" s="1" t="s">
        <v>18</v>
      </c>
      <c r="O603" s="1" t="s">
        <v>19</v>
      </c>
      <c r="P603" s="4" t="n">
        <v>45973.466099537</v>
      </c>
      <c r="Q603" s="4" t="n">
        <v>45973.466099537</v>
      </c>
    </row>
    <row r="604" customFormat="false" ht="15" hidden="false" customHeight="false" outlineLevel="0" collapsed="false">
      <c r="A604" s="1" t="str">
        <f aca="false">Feuil1!H604</f>
        <v>55063</v>
      </c>
      <c r="B604" s="1" t="s">
        <v>17</v>
      </c>
      <c r="C604" s="1" t="s">
        <v>17</v>
      </c>
      <c r="D604" s="1" t="s">
        <v>17</v>
      </c>
      <c r="E604" s="1" t="s">
        <v>17</v>
      </c>
      <c r="F604" s="1" t="s">
        <v>17</v>
      </c>
      <c r="G604" s="1" t="s">
        <v>17</v>
      </c>
      <c r="H604" s="1" t="s">
        <v>17</v>
      </c>
      <c r="I604" s="3" t="str">
        <f aca="false">Feuil1!I604</f>
        <v>Skis Alpin </v>
      </c>
      <c r="J604" s="3" t="str">
        <f aca="false">Feuil1!J604</f>
        <v>BlackCrows camox jr</v>
      </c>
      <c r="K604" s="3" t="str">
        <f aca="false">Feuil1!K604</f>
        <v>149 cm</v>
      </c>
      <c r="L604" s="3" t="n">
        <f aca="false">Feuil1!L604</f>
        <v>245</v>
      </c>
      <c r="M604" s="1" t="s">
        <v>17</v>
      </c>
      <c r="N604" s="1" t="s">
        <v>18</v>
      </c>
      <c r="O604" s="1" t="s">
        <v>19</v>
      </c>
      <c r="P604" s="4" t="n">
        <v>45973.466099537</v>
      </c>
      <c r="Q604" s="4" t="n">
        <v>45973.466099537</v>
      </c>
    </row>
    <row r="605" customFormat="false" ht="15" hidden="false" customHeight="false" outlineLevel="0" collapsed="false">
      <c r="A605" s="1" t="str">
        <f aca="false">Feuil1!H605</f>
        <v>55064</v>
      </c>
      <c r="B605" s="1" t="s">
        <v>17</v>
      </c>
      <c r="C605" s="1" t="s">
        <v>17</v>
      </c>
      <c r="D605" s="1" t="s">
        <v>17</v>
      </c>
      <c r="E605" s="1" t="s">
        <v>17</v>
      </c>
      <c r="F605" s="1" t="s">
        <v>17</v>
      </c>
      <c r="G605" s="1" t="s">
        <v>17</v>
      </c>
      <c r="H605" s="1" t="s">
        <v>17</v>
      </c>
      <c r="I605" s="3" t="str">
        <f aca="false">Feuil1!I605</f>
        <v>Skis Alpin </v>
      </c>
      <c r="J605" s="3" t="str">
        <f aca="false">Feuil1!J605</f>
        <v>dynastar speed master</v>
      </c>
      <c r="K605" s="3" t="str">
        <f aca="false">Feuil1!K605</f>
        <v>163 cm</v>
      </c>
      <c r="L605" s="3" t="n">
        <f aca="false">Feuil1!L605</f>
        <v>549</v>
      </c>
      <c r="M605" s="1" t="s">
        <v>17</v>
      </c>
      <c r="N605" s="1" t="s">
        <v>18</v>
      </c>
      <c r="O605" s="1" t="s">
        <v>19</v>
      </c>
      <c r="P605" s="4" t="n">
        <v>45973.466099537</v>
      </c>
      <c r="Q605" s="4" t="n">
        <v>45973.466099537</v>
      </c>
    </row>
    <row r="606" customFormat="false" ht="15" hidden="false" customHeight="false" outlineLevel="0" collapsed="false">
      <c r="A606" s="1" t="str">
        <f aca="false">Feuil1!H606</f>
        <v>55065</v>
      </c>
      <c r="B606" s="1" t="s">
        <v>17</v>
      </c>
      <c r="C606" s="1" t="s">
        <v>17</v>
      </c>
      <c r="D606" s="1" t="s">
        <v>17</v>
      </c>
      <c r="E606" s="1" t="s">
        <v>17</v>
      </c>
      <c r="F606" s="1" t="s">
        <v>17</v>
      </c>
      <c r="G606" s="1" t="s">
        <v>17</v>
      </c>
      <c r="H606" s="1" t="s">
        <v>17</v>
      </c>
      <c r="I606" s="3" t="str">
        <f aca="false">Feuil1!I606</f>
        <v>Skis Alpin </v>
      </c>
      <c r="J606" s="3" t="str">
        <f aca="false">Feuil1!J606</f>
        <v>elan inspire</v>
      </c>
      <c r="K606" s="3" t="str">
        <f aca="false">Feuil1!K606</f>
        <v>166 cm</v>
      </c>
      <c r="L606" s="3" t="n">
        <f aca="false">Feuil1!L606</f>
        <v>145</v>
      </c>
      <c r="M606" s="1" t="s">
        <v>17</v>
      </c>
      <c r="N606" s="1" t="s">
        <v>18</v>
      </c>
      <c r="O606" s="1" t="s">
        <v>19</v>
      </c>
      <c r="P606" s="4" t="n">
        <v>45973.466099537</v>
      </c>
      <c r="Q606" s="4" t="n">
        <v>45973.466099537</v>
      </c>
    </row>
    <row r="607" customFormat="false" ht="15" hidden="false" customHeight="false" outlineLevel="0" collapsed="false">
      <c r="A607" s="1" t="str">
        <f aca="false">Feuil1!H607</f>
        <v>55066</v>
      </c>
      <c r="B607" s="1" t="s">
        <v>17</v>
      </c>
      <c r="C607" s="1" t="s">
        <v>17</v>
      </c>
      <c r="D607" s="1" t="s">
        <v>17</v>
      </c>
      <c r="E607" s="1" t="s">
        <v>17</v>
      </c>
      <c r="F607" s="1" t="s">
        <v>17</v>
      </c>
      <c r="G607" s="1" t="s">
        <v>17</v>
      </c>
      <c r="H607" s="1" t="s">
        <v>17</v>
      </c>
      <c r="I607" s="3" t="str">
        <f aca="false">Feuil1!I607</f>
        <v>Skis Alpin </v>
      </c>
      <c r="J607" s="3" t="str">
        <f aca="false">Feuil1!J607</f>
        <v>BlackCrows captis</v>
      </c>
      <c r="K607" s="3" t="str">
        <f aca="false">Feuil1!K607</f>
        <v>178 cm</v>
      </c>
      <c r="L607" s="3" t="n">
        <f aca="false">Feuil1!L607</f>
        <v>425</v>
      </c>
      <c r="M607" s="1" t="s">
        <v>17</v>
      </c>
      <c r="N607" s="1" t="s">
        <v>18</v>
      </c>
      <c r="O607" s="1" t="s">
        <v>19</v>
      </c>
      <c r="P607" s="4" t="n">
        <v>45973.466099537</v>
      </c>
      <c r="Q607" s="4" t="n">
        <v>45973.466099537</v>
      </c>
    </row>
    <row r="608" customFormat="false" ht="15" hidden="false" customHeight="false" outlineLevel="0" collapsed="false">
      <c r="A608" s="1" t="str">
        <f aca="false">Feuil1!H608</f>
        <v>55067</v>
      </c>
      <c r="B608" s="1" t="s">
        <v>17</v>
      </c>
      <c r="C608" s="1" t="s">
        <v>17</v>
      </c>
      <c r="D608" s="1" t="s">
        <v>17</v>
      </c>
      <c r="E608" s="1" t="s">
        <v>17</v>
      </c>
      <c r="F608" s="1" t="s">
        <v>17</v>
      </c>
      <c r="G608" s="1" t="s">
        <v>17</v>
      </c>
      <c r="H608" s="1" t="s">
        <v>17</v>
      </c>
      <c r="I608" s="3" t="str">
        <f aca="false">Feuil1!I608</f>
        <v>Skis Alpin </v>
      </c>
      <c r="J608" s="3" t="str">
        <f aca="false">Feuil1!J608</f>
        <v>BlackCrows mirus</v>
      </c>
      <c r="K608" s="3" t="str">
        <f aca="false">Feuil1!K608</f>
        <v>173 cm</v>
      </c>
      <c r="L608" s="3" t="n">
        <f aca="false">Feuil1!L608</f>
        <v>540</v>
      </c>
      <c r="M608" s="1" t="s">
        <v>17</v>
      </c>
      <c r="N608" s="1" t="s">
        <v>18</v>
      </c>
      <c r="O608" s="1" t="s">
        <v>19</v>
      </c>
      <c r="P608" s="4" t="n">
        <v>45973.466099537</v>
      </c>
      <c r="Q608" s="4" t="n">
        <v>45973.466099537</v>
      </c>
    </row>
    <row r="609" customFormat="false" ht="15" hidden="false" customHeight="false" outlineLevel="0" collapsed="false">
      <c r="A609" s="1" t="str">
        <f aca="false">Feuil1!H609</f>
        <v>55068</v>
      </c>
      <c r="B609" s="1" t="s">
        <v>17</v>
      </c>
      <c r="C609" s="1" t="s">
        <v>17</v>
      </c>
      <c r="D609" s="1" t="s">
        <v>17</v>
      </c>
      <c r="E609" s="1" t="s">
        <v>17</v>
      </c>
      <c r="F609" s="1" t="s">
        <v>17</v>
      </c>
      <c r="G609" s="1" t="s">
        <v>17</v>
      </c>
      <c r="H609" s="1" t="s">
        <v>17</v>
      </c>
      <c r="I609" s="3" t="str">
        <f aca="false">Feuil1!I609</f>
        <v>Skis Alpin </v>
      </c>
      <c r="J609" s="3" t="str">
        <f aca="false">Feuil1!J609</f>
        <v>BlackCrows mirus</v>
      </c>
      <c r="K609" s="3" t="str">
        <f aca="false">Feuil1!K609</f>
        <v>173 cm</v>
      </c>
      <c r="L609" s="3" t="n">
        <f aca="false">Feuil1!L609</f>
        <v>540</v>
      </c>
      <c r="M609" s="1" t="s">
        <v>17</v>
      </c>
      <c r="N609" s="1" t="s">
        <v>18</v>
      </c>
      <c r="O609" s="1" t="s">
        <v>19</v>
      </c>
      <c r="P609" s="4" t="n">
        <v>45973.466099537</v>
      </c>
      <c r="Q609" s="4" t="n">
        <v>45973.466099537</v>
      </c>
    </row>
    <row r="610" customFormat="false" ht="15" hidden="false" customHeight="false" outlineLevel="0" collapsed="false">
      <c r="A610" s="1" t="str">
        <f aca="false">Feuil1!H610</f>
        <v>55069</v>
      </c>
      <c r="B610" s="1" t="s">
        <v>17</v>
      </c>
      <c r="C610" s="1" t="s">
        <v>17</v>
      </c>
      <c r="D610" s="1" t="s">
        <v>17</v>
      </c>
      <c r="E610" s="1" t="s">
        <v>17</v>
      </c>
      <c r="F610" s="1" t="s">
        <v>17</v>
      </c>
      <c r="G610" s="1" t="s">
        <v>17</v>
      </c>
      <c r="H610" s="1" t="s">
        <v>17</v>
      </c>
      <c r="I610" s="3" t="str">
        <f aca="false">Feuil1!I610</f>
        <v>Skis Alpin </v>
      </c>
      <c r="J610" s="3" t="str">
        <f aca="false">Feuil1!J610</f>
        <v>BlackCrows mirus</v>
      </c>
      <c r="K610" s="3" t="str">
        <f aca="false">Feuil1!K610</f>
        <v>168 cm</v>
      </c>
      <c r="L610" s="3" t="n">
        <f aca="false">Feuil1!L610</f>
        <v>540</v>
      </c>
      <c r="M610" s="1" t="s">
        <v>17</v>
      </c>
      <c r="N610" s="1" t="s">
        <v>18</v>
      </c>
      <c r="O610" s="1" t="s">
        <v>19</v>
      </c>
      <c r="P610" s="4" t="n">
        <v>45973.466099537</v>
      </c>
      <c r="Q610" s="4" t="n">
        <v>45973.466099537</v>
      </c>
    </row>
    <row r="611" customFormat="false" ht="15" hidden="false" customHeight="false" outlineLevel="0" collapsed="false">
      <c r="A611" s="1" t="str">
        <f aca="false">Feuil1!H611</f>
        <v>55070</v>
      </c>
      <c r="B611" s="1" t="s">
        <v>17</v>
      </c>
      <c r="C611" s="1" t="s">
        <v>17</v>
      </c>
      <c r="D611" s="1" t="s">
        <v>17</v>
      </c>
      <c r="E611" s="1" t="s">
        <v>17</v>
      </c>
      <c r="F611" s="1" t="s">
        <v>17</v>
      </c>
      <c r="G611" s="1" t="s">
        <v>17</v>
      </c>
      <c r="H611" s="1" t="s">
        <v>17</v>
      </c>
      <c r="I611" s="3" t="str">
        <f aca="false">Feuil1!I611</f>
        <v>Skis Alpin </v>
      </c>
      <c r="J611" s="3" t="str">
        <f aca="false">Feuil1!J611</f>
        <v>BlackCrows mirus</v>
      </c>
      <c r="K611" s="3" t="str">
        <f aca="false">Feuil1!K611</f>
        <v>178 cm</v>
      </c>
      <c r="L611" s="3" t="n">
        <f aca="false">Feuil1!L611</f>
        <v>540</v>
      </c>
      <c r="M611" s="1" t="s">
        <v>17</v>
      </c>
      <c r="N611" s="1" t="s">
        <v>18</v>
      </c>
      <c r="O611" s="1" t="s">
        <v>19</v>
      </c>
      <c r="P611" s="4" t="n">
        <v>45973.466099537</v>
      </c>
      <c r="Q611" s="4" t="n">
        <v>45973.466099537</v>
      </c>
    </row>
    <row r="612" customFormat="false" ht="15" hidden="false" customHeight="false" outlineLevel="0" collapsed="false">
      <c r="A612" s="1" t="str">
        <f aca="false">Feuil1!H612</f>
        <v>55071</v>
      </c>
      <c r="B612" s="1" t="s">
        <v>17</v>
      </c>
      <c r="C612" s="1" t="s">
        <v>17</v>
      </c>
      <c r="D612" s="1" t="s">
        <v>17</v>
      </c>
      <c r="E612" s="1" t="s">
        <v>17</v>
      </c>
      <c r="F612" s="1" t="s">
        <v>17</v>
      </c>
      <c r="G612" s="1" t="s">
        <v>17</v>
      </c>
      <c r="H612" s="1" t="s">
        <v>17</v>
      </c>
      <c r="I612" s="3" t="str">
        <f aca="false">Feuil1!I612</f>
        <v>Skis Alpin </v>
      </c>
      <c r="J612" s="3" t="str">
        <f aca="false">Feuil1!J612</f>
        <v>BlackCrows camox jr</v>
      </c>
      <c r="K612" s="3" t="str">
        <f aca="false">Feuil1!K612</f>
        <v>157 cm</v>
      </c>
      <c r="L612" s="3" t="n">
        <f aca="false">Feuil1!L612</f>
        <v>295</v>
      </c>
      <c r="M612" s="1" t="s">
        <v>17</v>
      </c>
      <c r="N612" s="1" t="s">
        <v>18</v>
      </c>
      <c r="O612" s="1" t="s">
        <v>19</v>
      </c>
      <c r="P612" s="4" t="n">
        <v>45973.466099537</v>
      </c>
      <c r="Q612" s="4" t="n">
        <v>45973.466099537</v>
      </c>
    </row>
    <row r="613" customFormat="false" ht="15" hidden="false" customHeight="false" outlineLevel="0" collapsed="false">
      <c r="A613" s="1" t="str">
        <f aca="false">Feuil1!H613</f>
        <v>55072</v>
      </c>
      <c r="B613" s="1" t="s">
        <v>17</v>
      </c>
      <c r="C613" s="1" t="s">
        <v>17</v>
      </c>
      <c r="D613" s="1" t="s">
        <v>17</v>
      </c>
      <c r="E613" s="1" t="s">
        <v>17</v>
      </c>
      <c r="F613" s="1" t="s">
        <v>17</v>
      </c>
      <c r="G613" s="1" t="s">
        <v>17</v>
      </c>
      <c r="H613" s="1" t="s">
        <v>17</v>
      </c>
      <c r="I613" s="3" t="str">
        <f aca="false">Feuil1!I613</f>
        <v>Chaussures Alpin </v>
      </c>
      <c r="J613" s="3" t="str">
        <f aca="false">Feuil1!J613</f>
        <v>nordica speed 4-</v>
      </c>
      <c r="K613" s="3" t="str">
        <f aca="false">Feuil1!K613</f>
        <v>37 (EU) / 23 (MP)</v>
      </c>
      <c r="L613" s="3" t="n">
        <f aca="false">Feuil1!L613</f>
        <v>35</v>
      </c>
      <c r="M613" s="1" t="s">
        <v>17</v>
      </c>
      <c r="N613" s="1" t="s">
        <v>18</v>
      </c>
      <c r="O613" s="1" t="s">
        <v>19</v>
      </c>
      <c r="P613" s="4" t="n">
        <v>45973.466099537</v>
      </c>
      <c r="Q613" s="4" t="n">
        <v>45973.466099537</v>
      </c>
    </row>
    <row r="614" customFormat="false" ht="15" hidden="false" customHeight="false" outlineLevel="0" collapsed="false">
      <c r="A614" s="1" t="str">
        <f aca="false">Feuil1!H614</f>
        <v>55073</v>
      </c>
      <c r="B614" s="1" t="s">
        <v>17</v>
      </c>
      <c r="C614" s="1" t="s">
        <v>17</v>
      </c>
      <c r="D614" s="1" t="s">
        <v>17</v>
      </c>
      <c r="E614" s="1" t="s">
        <v>17</v>
      </c>
      <c r="F614" s="1" t="s">
        <v>17</v>
      </c>
      <c r="G614" s="1" t="s">
        <v>17</v>
      </c>
      <c r="H614" s="1" t="s">
        <v>17</v>
      </c>
      <c r="I614" s="3" t="str">
        <f aca="false">Feuil1!I614</f>
        <v>Chaussures Alpin </v>
      </c>
      <c r="J614" s="3" t="str">
        <f aca="false">Feuil1!J614</f>
        <v>nordica speed 4-</v>
      </c>
      <c r="K614" s="3" t="str">
        <f aca="false">Feuil1!K614</f>
        <v>37 (EU) / 23 (MP)</v>
      </c>
      <c r="L614" s="3" t="n">
        <f aca="false">Feuil1!L614</f>
        <v>35</v>
      </c>
      <c r="M614" s="1" t="s">
        <v>17</v>
      </c>
      <c r="N614" s="1" t="s">
        <v>18</v>
      </c>
      <c r="O614" s="1" t="s">
        <v>19</v>
      </c>
      <c r="P614" s="4" t="n">
        <v>45973.466099537</v>
      </c>
      <c r="Q614" s="4" t="n">
        <v>45973.466099537</v>
      </c>
    </row>
    <row r="615" customFormat="false" ht="15" hidden="false" customHeight="false" outlineLevel="0" collapsed="false">
      <c r="A615" s="1" t="str">
        <f aca="false">Feuil1!H615</f>
        <v>55074</v>
      </c>
      <c r="B615" s="1" t="s">
        <v>17</v>
      </c>
      <c r="C615" s="1" t="s">
        <v>17</v>
      </c>
      <c r="D615" s="1" t="s">
        <v>17</v>
      </c>
      <c r="E615" s="1" t="s">
        <v>17</v>
      </c>
      <c r="F615" s="1" t="s">
        <v>17</v>
      </c>
      <c r="G615" s="1" t="s">
        <v>17</v>
      </c>
      <c r="H615" s="1" t="s">
        <v>17</v>
      </c>
      <c r="I615" s="3" t="str">
        <f aca="false">Feuil1!I615</f>
        <v>Chaussures Alpin </v>
      </c>
      <c r="J615" s="3" t="str">
        <f aca="false">Feuil1!J615</f>
        <v>nordica speed 4-</v>
      </c>
      <c r="K615" s="3" t="str">
        <f aca="false">Feuil1!K615</f>
        <v>38 (EU) / 24 (MP)</v>
      </c>
      <c r="L615" s="3" t="n">
        <f aca="false">Feuil1!L615</f>
        <v>35</v>
      </c>
      <c r="M615" s="1" t="s">
        <v>17</v>
      </c>
      <c r="N615" s="1" t="s">
        <v>18</v>
      </c>
      <c r="O615" s="1" t="s">
        <v>19</v>
      </c>
      <c r="P615" s="4" t="n">
        <v>45973.466099537</v>
      </c>
      <c r="Q615" s="4" t="n">
        <v>45973.466099537</v>
      </c>
    </row>
    <row r="616" customFormat="false" ht="15" hidden="false" customHeight="false" outlineLevel="0" collapsed="false">
      <c r="A616" s="1" t="str">
        <f aca="false">Feuil1!H616</f>
        <v>55075</v>
      </c>
      <c r="B616" s="1" t="s">
        <v>17</v>
      </c>
      <c r="C616" s="1" t="s">
        <v>17</v>
      </c>
      <c r="D616" s="1" t="s">
        <v>17</v>
      </c>
      <c r="E616" s="1" t="s">
        <v>17</v>
      </c>
      <c r="F616" s="1" t="s">
        <v>17</v>
      </c>
      <c r="G616" s="1" t="s">
        <v>17</v>
      </c>
      <c r="H616" s="1" t="s">
        <v>17</v>
      </c>
      <c r="I616" s="3" t="str">
        <f aca="false">Feuil1!I616</f>
        <v>Chaussures Alpin </v>
      </c>
      <c r="J616" s="3" t="str">
        <f aca="false">Feuil1!J616</f>
        <v>nordica speed 4-</v>
      </c>
      <c r="K616" s="3" t="str">
        <f aca="false">Feuil1!K616</f>
        <v>38 (EU) / 24 (MP)</v>
      </c>
      <c r="L616" s="3" t="n">
        <f aca="false">Feuil1!L616</f>
        <v>35</v>
      </c>
      <c r="M616" s="1" t="s">
        <v>17</v>
      </c>
      <c r="N616" s="1" t="s">
        <v>18</v>
      </c>
      <c r="O616" s="1" t="s">
        <v>19</v>
      </c>
      <c r="P616" s="4" t="n">
        <v>45973.466099537</v>
      </c>
      <c r="Q616" s="4" t="n">
        <v>45973.466099537</v>
      </c>
    </row>
    <row r="617" customFormat="false" ht="15" hidden="false" customHeight="false" outlineLevel="0" collapsed="false">
      <c r="A617" s="1" t="str">
        <f aca="false">Feuil1!H617</f>
        <v>55076</v>
      </c>
      <c r="B617" s="1" t="s">
        <v>17</v>
      </c>
      <c r="C617" s="1" t="s">
        <v>17</v>
      </c>
      <c r="D617" s="1" t="s">
        <v>17</v>
      </c>
      <c r="E617" s="1" t="s">
        <v>17</v>
      </c>
      <c r="F617" s="1" t="s">
        <v>17</v>
      </c>
      <c r="G617" s="1" t="s">
        <v>17</v>
      </c>
      <c r="H617" s="1" t="s">
        <v>17</v>
      </c>
      <c r="I617" s="3" t="str">
        <f aca="false">Feuil1!I617</f>
        <v>Chaussures Alpin </v>
      </c>
      <c r="J617" s="3" t="str">
        <f aca="false">Feuil1!J617</f>
        <v>nordica speed 4-</v>
      </c>
      <c r="K617" s="3" t="str">
        <f aca="false">Feuil1!K617</f>
        <v>32 (EU) / 20 (MP)</v>
      </c>
      <c r="L617" s="3" t="n">
        <f aca="false">Feuil1!L617</f>
        <v>35</v>
      </c>
      <c r="M617" s="1" t="s">
        <v>17</v>
      </c>
      <c r="N617" s="1" t="s">
        <v>18</v>
      </c>
      <c r="O617" s="1" t="s">
        <v>19</v>
      </c>
      <c r="P617" s="4" t="n">
        <v>45973.466099537</v>
      </c>
      <c r="Q617" s="4" t="n">
        <v>45973.466099537</v>
      </c>
    </row>
    <row r="618" customFormat="false" ht="15" hidden="false" customHeight="false" outlineLevel="0" collapsed="false">
      <c r="A618" s="1" t="str">
        <f aca="false">Feuil1!H618</f>
        <v>55077</v>
      </c>
      <c r="B618" s="1" t="s">
        <v>17</v>
      </c>
      <c r="C618" s="1" t="s">
        <v>17</v>
      </c>
      <c r="D618" s="1" t="s">
        <v>17</v>
      </c>
      <c r="E618" s="1" t="s">
        <v>17</v>
      </c>
      <c r="F618" s="1" t="s">
        <v>17</v>
      </c>
      <c r="G618" s="1" t="s">
        <v>17</v>
      </c>
      <c r="H618" s="1" t="s">
        <v>17</v>
      </c>
      <c r="I618" s="3" t="str">
        <f aca="false">Feuil1!I618</f>
        <v>Chaussures Alpin </v>
      </c>
      <c r="J618" s="3" t="str">
        <f aca="false">Feuil1!J618</f>
        <v>nordica speed 4-</v>
      </c>
      <c r="K618" s="3" t="str">
        <f aca="false">Feuil1!K618</f>
        <v>32 (EU) / 20 (MP)</v>
      </c>
      <c r="L618" s="3" t="n">
        <f aca="false">Feuil1!L618</f>
        <v>35</v>
      </c>
      <c r="M618" s="1" t="s">
        <v>17</v>
      </c>
      <c r="N618" s="1" t="s">
        <v>18</v>
      </c>
      <c r="O618" s="1" t="s">
        <v>19</v>
      </c>
      <c r="P618" s="4" t="n">
        <v>45973.466099537</v>
      </c>
      <c r="Q618" s="4" t="n">
        <v>45973.466099537</v>
      </c>
    </row>
    <row r="619" customFormat="false" ht="15" hidden="false" customHeight="false" outlineLevel="0" collapsed="false">
      <c r="A619" s="1" t="str">
        <f aca="false">Feuil1!H619</f>
        <v>55078</v>
      </c>
      <c r="B619" s="1" t="s">
        <v>17</v>
      </c>
      <c r="C619" s="1" t="s">
        <v>17</v>
      </c>
      <c r="D619" s="1" t="s">
        <v>17</v>
      </c>
      <c r="E619" s="1" t="s">
        <v>17</v>
      </c>
      <c r="F619" s="1" t="s">
        <v>17</v>
      </c>
      <c r="G619" s="1" t="s">
        <v>17</v>
      </c>
      <c r="H619" s="1" t="s">
        <v>17</v>
      </c>
      <c r="I619" s="3" t="str">
        <f aca="false">Feuil1!I619</f>
        <v>Chaussures Alpin </v>
      </c>
      <c r="J619" s="3" t="str">
        <f aca="false">Feuil1!J619</f>
        <v>nordica speed 4-</v>
      </c>
      <c r="K619" s="3" t="str">
        <f aca="false">Feuil1!K619</f>
        <v>33 (EU) / 21 (MP)</v>
      </c>
      <c r="L619" s="3" t="n">
        <f aca="false">Feuil1!L619</f>
        <v>35</v>
      </c>
      <c r="M619" s="1" t="s">
        <v>17</v>
      </c>
      <c r="N619" s="1" t="s">
        <v>18</v>
      </c>
      <c r="O619" s="1" t="s">
        <v>19</v>
      </c>
      <c r="P619" s="4" t="n">
        <v>45973.466099537</v>
      </c>
      <c r="Q619" s="4" t="n">
        <v>45973.466099537</v>
      </c>
    </row>
    <row r="620" customFormat="false" ht="15" hidden="false" customHeight="false" outlineLevel="0" collapsed="false">
      <c r="A620" s="1" t="str">
        <f aca="false">Feuil1!H620</f>
        <v>55079</v>
      </c>
      <c r="B620" s="1" t="s">
        <v>17</v>
      </c>
      <c r="C620" s="1" t="s">
        <v>17</v>
      </c>
      <c r="D620" s="1" t="s">
        <v>17</v>
      </c>
      <c r="E620" s="1" t="s">
        <v>17</v>
      </c>
      <c r="F620" s="1" t="s">
        <v>17</v>
      </c>
      <c r="G620" s="1" t="s">
        <v>17</v>
      </c>
      <c r="H620" s="1" t="s">
        <v>17</v>
      </c>
      <c r="I620" s="3" t="str">
        <f aca="false">Feuil1!I620</f>
        <v>Chaussures Alpin </v>
      </c>
      <c r="J620" s="3" t="str">
        <f aca="false">Feuil1!J620</f>
        <v>nordica speed 4-</v>
      </c>
      <c r="K620" s="3" t="str">
        <f aca="false">Feuil1!K620</f>
        <v>35 (EU) / 22 (MP)</v>
      </c>
      <c r="L620" s="3" t="n">
        <f aca="false">Feuil1!L620</f>
        <v>35</v>
      </c>
      <c r="M620" s="1" t="s">
        <v>17</v>
      </c>
      <c r="N620" s="1" t="s">
        <v>18</v>
      </c>
      <c r="O620" s="1" t="s">
        <v>19</v>
      </c>
      <c r="P620" s="4" t="n">
        <v>45973.466099537</v>
      </c>
      <c r="Q620" s="4" t="n">
        <v>45973.466099537</v>
      </c>
    </row>
    <row r="621" customFormat="false" ht="15" hidden="false" customHeight="false" outlineLevel="0" collapsed="false">
      <c r="A621" s="1" t="str">
        <f aca="false">Feuil1!H621</f>
        <v>55080</v>
      </c>
      <c r="B621" s="1" t="s">
        <v>17</v>
      </c>
      <c r="C621" s="1" t="s">
        <v>17</v>
      </c>
      <c r="D621" s="1" t="s">
        <v>17</v>
      </c>
      <c r="E621" s="1" t="s">
        <v>17</v>
      </c>
      <c r="F621" s="1" t="s">
        <v>17</v>
      </c>
      <c r="G621" s="1" t="s">
        <v>17</v>
      </c>
      <c r="H621" s="1" t="s">
        <v>17</v>
      </c>
      <c r="I621" s="3" t="str">
        <f aca="false">Feuil1!I621</f>
        <v>Chaussures Alpin </v>
      </c>
      <c r="J621" s="3" t="str">
        <f aca="false">Feuil1!J621</f>
        <v>nordica speed 4-</v>
      </c>
      <c r="K621" s="3" t="str">
        <f aca="false">Feuil1!K621</f>
        <v>36 (EU) / 23 (MP)</v>
      </c>
      <c r="L621" s="3" t="n">
        <f aca="false">Feuil1!L621</f>
        <v>35</v>
      </c>
      <c r="M621" s="1" t="s">
        <v>17</v>
      </c>
      <c r="N621" s="1" t="s">
        <v>18</v>
      </c>
      <c r="O621" s="1" t="s">
        <v>19</v>
      </c>
      <c r="P621" s="4" t="n">
        <v>45973.466099537</v>
      </c>
      <c r="Q621" s="4" t="n">
        <v>45973.466099537</v>
      </c>
    </row>
    <row r="622" customFormat="false" ht="15" hidden="false" customHeight="false" outlineLevel="0" collapsed="false">
      <c r="A622" s="1" t="str">
        <f aca="false">Feuil1!H622</f>
        <v>55081</v>
      </c>
      <c r="B622" s="1" t="s">
        <v>17</v>
      </c>
      <c r="C622" s="1" t="s">
        <v>17</v>
      </c>
      <c r="D622" s="1" t="s">
        <v>17</v>
      </c>
      <c r="E622" s="1" t="s">
        <v>17</v>
      </c>
      <c r="F622" s="1" t="s">
        <v>17</v>
      </c>
      <c r="G622" s="1" t="s">
        <v>17</v>
      </c>
      <c r="H622" s="1" t="s">
        <v>17</v>
      </c>
      <c r="I622" s="3" t="str">
        <f aca="false">Feuil1!I622</f>
        <v>Chaussures Alpin </v>
      </c>
      <c r="J622" s="3" t="str">
        <f aca="false">Feuil1!J622</f>
        <v>nordica speed 4-</v>
      </c>
      <c r="K622" s="3" t="str">
        <f aca="false">Feuil1!K622</f>
        <v>39 (EU) / 25 (MP)</v>
      </c>
      <c r="L622" s="3" t="n">
        <f aca="false">Feuil1!L622</f>
        <v>39</v>
      </c>
      <c r="M622" s="1" t="s">
        <v>17</v>
      </c>
      <c r="N622" s="1" t="s">
        <v>18</v>
      </c>
      <c r="O622" s="1" t="s">
        <v>19</v>
      </c>
      <c r="P622" s="4" t="n">
        <v>45973.466099537</v>
      </c>
      <c r="Q622" s="4" t="n">
        <v>45973.466099537</v>
      </c>
    </row>
    <row r="623" customFormat="false" ht="15" hidden="false" customHeight="false" outlineLevel="0" collapsed="false">
      <c r="A623" s="1" t="str">
        <f aca="false">Feuil1!H623</f>
        <v>55082</v>
      </c>
      <c r="B623" s="1" t="s">
        <v>17</v>
      </c>
      <c r="C623" s="1" t="s">
        <v>17</v>
      </c>
      <c r="D623" s="1" t="s">
        <v>17</v>
      </c>
      <c r="E623" s="1" t="s">
        <v>17</v>
      </c>
      <c r="F623" s="1" t="s">
        <v>17</v>
      </c>
      <c r="G623" s="1" t="s">
        <v>17</v>
      </c>
      <c r="H623" s="1" t="s">
        <v>17</v>
      </c>
      <c r="I623" s="3" t="str">
        <f aca="false">Feuil1!I623</f>
        <v>Chaussures Alpin </v>
      </c>
      <c r="J623" s="3" t="str">
        <f aca="false">Feuil1!J623</f>
        <v>nordica speed 4-</v>
      </c>
      <c r="K623" s="3" t="str">
        <f aca="false">Feuil1!K623</f>
        <v>40 (EU) / 25 (MP)</v>
      </c>
      <c r="L623" s="3" t="n">
        <f aca="false">Feuil1!L623</f>
        <v>39</v>
      </c>
      <c r="M623" s="1" t="s">
        <v>17</v>
      </c>
      <c r="N623" s="1" t="s">
        <v>18</v>
      </c>
      <c r="O623" s="1" t="s">
        <v>19</v>
      </c>
      <c r="P623" s="4" t="n">
        <v>45973.466099537</v>
      </c>
      <c r="Q623" s="4" t="n">
        <v>45973.466099537</v>
      </c>
    </row>
    <row r="624" customFormat="false" ht="15" hidden="false" customHeight="false" outlineLevel="0" collapsed="false">
      <c r="A624" s="1" t="str">
        <f aca="false">Feuil1!H624</f>
        <v>55083</v>
      </c>
      <c r="B624" s="1" t="s">
        <v>17</v>
      </c>
      <c r="C624" s="1" t="s">
        <v>17</v>
      </c>
      <c r="D624" s="1" t="s">
        <v>17</v>
      </c>
      <c r="E624" s="1" t="s">
        <v>17</v>
      </c>
      <c r="F624" s="1" t="s">
        <v>17</v>
      </c>
      <c r="G624" s="1" t="s">
        <v>17</v>
      </c>
      <c r="H624" s="1" t="s">
        <v>17</v>
      </c>
      <c r="I624" s="3" t="str">
        <f aca="false">Feuil1!I624</f>
        <v>Chaussures Alpin </v>
      </c>
      <c r="J624" s="3" t="str">
        <f aca="false">Feuil1!J624</f>
        <v>nordica speed 4-</v>
      </c>
      <c r="K624" s="3" t="str">
        <f aca="false">Feuil1!K624</f>
        <v>41 (EU) / 26 (MP)</v>
      </c>
      <c r="L624" s="3" t="n">
        <f aca="false">Feuil1!L624</f>
        <v>39</v>
      </c>
      <c r="M624" s="1" t="s">
        <v>17</v>
      </c>
      <c r="N624" s="1" t="s">
        <v>18</v>
      </c>
      <c r="O624" s="1" t="s">
        <v>19</v>
      </c>
      <c r="P624" s="4" t="n">
        <v>45973.466099537</v>
      </c>
      <c r="Q624" s="4" t="n">
        <v>45973.466099537</v>
      </c>
    </row>
    <row r="625" customFormat="false" ht="15" hidden="false" customHeight="false" outlineLevel="0" collapsed="false">
      <c r="A625" s="1" t="str">
        <f aca="false">Feuil1!H625</f>
        <v>55084</v>
      </c>
      <c r="B625" s="1" t="s">
        <v>17</v>
      </c>
      <c r="C625" s="1" t="s">
        <v>17</v>
      </c>
      <c r="D625" s="1" t="s">
        <v>17</v>
      </c>
      <c r="E625" s="1" t="s">
        <v>17</v>
      </c>
      <c r="F625" s="1" t="s">
        <v>17</v>
      </c>
      <c r="G625" s="1" t="s">
        <v>17</v>
      </c>
      <c r="H625" s="1" t="s">
        <v>17</v>
      </c>
      <c r="I625" s="3" t="str">
        <f aca="false">Feuil1!I625</f>
        <v>Chaussures Alpin </v>
      </c>
      <c r="J625" s="3" t="str">
        <f aca="false">Feuil1!J625</f>
        <v>nordica speed 4-</v>
      </c>
      <c r="K625" s="3" t="str">
        <f aca="false">Feuil1!K625</f>
        <v>42 (EU) / 26 (MP)</v>
      </c>
      <c r="L625" s="3" t="n">
        <f aca="false">Feuil1!L625</f>
        <v>39</v>
      </c>
      <c r="M625" s="1" t="s">
        <v>17</v>
      </c>
      <c r="N625" s="1" t="s">
        <v>18</v>
      </c>
      <c r="O625" s="1" t="s">
        <v>19</v>
      </c>
      <c r="P625" s="4" t="n">
        <v>45973.466099537</v>
      </c>
      <c r="Q625" s="4" t="n">
        <v>45973.466099537</v>
      </c>
    </row>
    <row r="626" customFormat="false" ht="15" hidden="false" customHeight="false" outlineLevel="0" collapsed="false">
      <c r="A626" s="1" t="str">
        <f aca="false">Feuil1!H626</f>
        <v>55085</v>
      </c>
      <c r="B626" s="1" t="s">
        <v>17</v>
      </c>
      <c r="C626" s="1" t="s">
        <v>17</v>
      </c>
      <c r="D626" s="1" t="s">
        <v>17</v>
      </c>
      <c r="E626" s="1" t="s">
        <v>17</v>
      </c>
      <c r="F626" s="1" t="s">
        <v>17</v>
      </c>
      <c r="G626" s="1" t="s">
        <v>17</v>
      </c>
      <c r="H626" s="1" t="s">
        <v>17</v>
      </c>
      <c r="I626" s="3" t="str">
        <f aca="false">Feuil1!I626</f>
        <v>Chaussures Alpin </v>
      </c>
      <c r="J626" s="3" t="str">
        <f aca="false">Feuil1!J626</f>
        <v>nordica speed 4-</v>
      </c>
      <c r="K626" s="3" t="str">
        <f aca="false">Feuil1!K626</f>
        <v>42 (EU) / 26 (MP)</v>
      </c>
      <c r="L626" s="3" t="n">
        <f aca="false">Feuil1!L626</f>
        <v>39</v>
      </c>
      <c r="M626" s="1" t="s">
        <v>17</v>
      </c>
      <c r="N626" s="1" t="s">
        <v>18</v>
      </c>
      <c r="O626" s="1" t="s">
        <v>19</v>
      </c>
      <c r="P626" s="4" t="n">
        <v>45973.466099537</v>
      </c>
      <c r="Q626" s="4" t="n">
        <v>45973.466099537</v>
      </c>
    </row>
    <row r="627" customFormat="false" ht="15" hidden="false" customHeight="false" outlineLevel="0" collapsed="false">
      <c r="A627" s="1" t="str">
        <f aca="false">Feuil1!H627</f>
        <v>55086</v>
      </c>
      <c r="B627" s="1" t="s">
        <v>17</v>
      </c>
      <c r="C627" s="1" t="s">
        <v>17</v>
      </c>
      <c r="D627" s="1" t="s">
        <v>17</v>
      </c>
      <c r="E627" s="1" t="s">
        <v>17</v>
      </c>
      <c r="F627" s="1" t="s">
        <v>17</v>
      </c>
      <c r="G627" s="1" t="s">
        <v>17</v>
      </c>
      <c r="H627" s="1" t="s">
        <v>17</v>
      </c>
      <c r="I627" s="3" t="str">
        <f aca="false">Feuil1!I627</f>
        <v>Chaussures Alpin </v>
      </c>
      <c r="J627" s="3" t="str">
        <f aca="false">Feuil1!J627</f>
        <v>nordica hawk</v>
      </c>
      <c r="K627" s="3" t="str">
        <f aca="false">Feuil1!K627</f>
        <v>46 (EU) / 29 (MP)</v>
      </c>
      <c r="L627" s="3" t="n">
        <f aca="false">Feuil1!L627</f>
        <v>49</v>
      </c>
      <c r="M627" s="1" t="s">
        <v>17</v>
      </c>
      <c r="N627" s="1" t="s">
        <v>18</v>
      </c>
      <c r="O627" s="1" t="s">
        <v>19</v>
      </c>
      <c r="P627" s="4" t="n">
        <v>45973.466099537</v>
      </c>
      <c r="Q627" s="4" t="n">
        <v>45973.466099537</v>
      </c>
    </row>
    <row r="628" customFormat="false" ht="15" hidden="false" customHeight="false" outlineLevel="0" collapsed="false">
      <c r="A628" s="1" t="str">
        <f aca="false">Feuil1!H628</f>
        <v>55087</v>
      </c>
      <c r="B628" s="1" t="s">
        <v>17</v>
      </c>
      <c r="C628" s="1" t="s">
        <v>17</v>
      </c>
      <c r="D628" s="1" t="s">
        <v>17</v>
      </c>
      <c r="E628" s="1" t="s">
        <v>17</v>
      </c>
      <c r="F628" s="1" t="s">
        <v>17</v>
      </c>
      <c r="G628" s="1" t="s">
        <v>17</v>
      </c>
      <c r="H628" s="1" t="s">
        <v>17</v>
      </c>
      <c r="I628" s="3" t="str">
        <f aca="false">Feuil1!I628</f>
        <v>Chaussures Alpin </v>
      </c>
      <c r="J628" s="3" t="str">
        <f aca="false">Feuil1!J628</f>
        <v>salomon xpro</v>
      </c>
      <c r="K628" s="3" t="str">
        <f aca="false">Feuil1!K628</f>
        <v>45 (EU) / 29 (MP)</v>
      </c>
      <c r="L628" s="3" t="n">
        <f aca="false">Feuil1!L628</f>
        <v>49</v>
      </c>
      <c r="M628" s="1" t="s">
        <v>17</v>
      </c>
      <c r="N628" s="1" t="s">
        <v>18</v>
      </c>
      <c r="O628" s="1" t="s">
        <v>19</v>
      </c>
      <c r="P628" s="4" t="n">
        <v>45973.466099537</v>
      </c>
      <c r="Q628" s="4" t="n">
        <v>45973.466099537</v>
      </c>
    </row>
    <row r="629" customFormat="false" ht="15" hidden="false" customHeight="false" outlineLevel="0" collapsed="false">
      <c r="A629" s="1" t="str">
        <f aca="false">Feuil1!H629</f>
        <v>55088</v>
      </c>
      <c r="B629" s="1" t="s">
        <v>17</v>
      </c>
      <c r="C629" s="1" t="s">
        <v>17</v>
      </c>
      <c r="D629" s="1" t="s">
        <v>17</v>
      </c>
      <c r="E629" s="1" t="s">
        <v>17</v>
      </c>
      <c r="F629" s="1" t="s">
        <v>17</v>
      </c>
      <c r="G629" s="1" t="s">
        <v>17</v>
      </c>
      <c r="H629" s="1" t="s">
        <v>17</v>
      </c>
      <c r="I629" s="3" t="str">
        <f aca="false">Feuil1!I629</f>
        <v>Chaussures Alpin </v>
      </c>
      <c r="J629" s="3" t="str">
        <f aca="false">Feuil1!J629</f>
        <v>rossignol alltrack</v>
      </c>
      <c r="K629" s="3" t="str">
        <f aca="false">Feuil1!K629</f>
        <v>45 (EU) / 29 (MP)</v>
      </c>
      <c r="L629" s="3" t="n">
        <f aca="false">Feuil1!L629</f>
        <v>49</v>
      </c>
      <c r="M629" s="1" t="s">
        <v>17</v>
      </c>
      <c r="N629" s="1" t="s">
        <v>18</v>
      </c>
      <c r="O629" s="1" t="s">
        <v>19</v>
      </c>
      <c r="P629" s="4" t="n">
        <v>45973.466099537</v>
      </c>
      <c r="Q629" s="4" t="n">
        <v>45973.466099537</v>
      </c>
    </row>
    <row r="630" customFormat="false" ht="15" hidden="false" customHeight="false" outlineLevel="0" collapsed="false">
      <c r="A630" s="1" t="str">
        <f aca="false">Feuil1!H630</f>
        <v>55089</v>
      </c>
      <c r="B630" s="1" t="s">
        <v>17</v>
      </c>
      <c r="C630" s="1" t="s">
        <v>17</v>
      </c>
      <c r="D630" s="1" t="s">
        <v>17</v>
      </c>
      <c r="E630" s="1" t="s">
        <v>17</v>
      </c>
      <c r="F630" s="1" t="s">
        <v>17</v>
      </c>
      <c r="G630" s="1" t="s">
        <v>17</v>
      </c>
      <c r="H630" s="1" t="s">
        <v>17</v>
      </c>
      <c r="I630" s="3" t="str">
        <f aca="false">Feuil1!I630</f>
        <v>Chaussures Alpin </v>
      </c>
      <c r="J630" s="3" t="str">
        <f aca="false">Feuil1!J630</f>
        <v>rossignol alltrack</v>
      </c>
      <c r="K630" s="3" t="str">
        <f aca="false">Feuil1!K630</f>
        <v>46 (EU) / 29 (MP)</v>
      </c>
      <c r="L630" s="3" t="n">
        <f aca="false">Feuil1!L630</f>
        <v>49</v>
      </c>
      <c r="M630" s="1" t="s">
        <v>17</v>
      </c>
      <c r="N630" s="1" t="s">
        <v>18</v>
      </c>
      <c r="O630" s="1" t="s">
        <v>19</v>
      </c>
      <c r="P630" s="4" t="n">
        <v>45973.466099537</v>
      </c>
      <c r="Q630" s="4" t="n">
        <v>45973.466099537</v>
      </c>
    </row>
    <row r="631" customFormat="false" ht="15" hidden="false" customHeight="false" outlineLevel="0" collapsed="false">
      <c r="A631" s="1" t="str">
        <f aca="false">Feuil1!H631</f>
        <v>55090</v>
      </c>
      <c r="B631" s="1" t="s">
        <v>17</v>
      </c>
      <c r="C631" s="1" t="s">
        <v>17</v>
      </c>
      <c r="D631" s="1" t="s">
        <v>17</v>
      </c>
      <c r="E631" s="1" t="s">
        <v>17</v>
      </c>
      <c r="F631" s="1" t="s">
        <v>17</v>
      </c>
      <c r="G631" s="1" t="s">
        <v>17</v>
      </c>
      <c r="H631" s="1" t="s">
        <v>17</v>
      </c>
      <c r="I631" s="3" t="str">
        <f aca="false">Feuil1!I631</f>
        <v>Chaussures Alpin </v>
      </c>
      <c r="J631" s="3" t="str">
        <f aca="false">Feuil1!J631</f>
        <v>rossignol alltrack</v>
      </c>
      <c r="K631" s="3" t="str">
        <f aca="false">Feuil1!K631</f>
        <v>46 (EU) / 29 (MP)</v>
      </c>
      <c r="L631" s="3" t="n">
        <f aca="false">Feuil1!L631</f>
        <v>49</v>
      </c>
      <c r="M631" s="1" t="s">
        <v>17</v>
      </c>
      <c r="N631" s="1" t="s">
        <v>18</v>
      </c>
      <c r="O631" s="1" t="s">
        <v>19</v>
      </c>
      <c r="P631" s="4" t="n">
        <v>45973.466099537</v>
      </c>
      <c r="Q631" s="4" t="n">
        <v>45973.466099537</v>
      </c>
    </row>
    <row r="632" customFormat="false" ht="15" hidden="false" customHeight="false" outlineLevel="0" collapsed="false">
      <c r="A632" s="1" t="str">
        <f aca="false">Feuil1!H632</f>
        <v>55091</v>
      </c>
      <c r="B632" s="1" t="s">
        <v>17</v>
      </c>
      <c r="C632" s="1" t="s">
        <v>17</v>
      </c>
      <c r="D632" s="1" t="s">
        <v>17</v>
      </c>
      <c r="E632" s="1" t="s">
        <v>17</v>
      </c>
      <c r="F632" s="1" t="s">
        <v>17</v>
      </c>
      <c r="G632" s="1" t="s">
        <v>17</v>
      </c>
      <c r="H632" s="1" t="s">
        <v>17</v>
      </c>
      <c r="I632" s="3" t="str">
        <f aca="false">Feuil1!I632</f>
        <v>Chaussures Alpin </v>
      </c>
      <c r="J632" s="3" t="str">
        <f aca="false">Feuil1!J632</f>
        <v>rossignol alltrack</v>
      </c>
      <c r="K632" s="3" t="str">
        <f aca="false">Feuil1!K632</f>
        <v>47 (EU) / 30 (MP)</v>
      </c>
      <c r="L632" s="3" t="n">
        <f aca="false">Feuil1!L632</f>
        <v>59</v>
      </c>
      <c r="M632" s="1" t="s">
        <v>17</v>
      </c>
      <c r="N632" s="1" t="s">
        <v>18</v>
      </c>
      <c r="O632" s="1" t="s">
        <v>19</v>
      </c>
      <c r="P632" s="4" t="n">
        <v>45973.466099537</v>
      </c>
      <c r="Q632" s="4" t="n">
        <v>45973.466099537</v>
      </c>
    </row>
    <row r="633" customFormat="false" ht="15" hidden="false" customHeight="false" outlineLevel="0" collapsed="false">
      <c r="A633" s="1" t="str">
        <f aca="false">Feuil1!H633</f>
        <v>55092</v>
      </c>
      <c r="B633" s="1" t="s">
        <v>17</v>
      </c>
      <c r="C633" s="1" t="s">
        <v>17</v>
      </c>
      <c r="D633" s="1" t="s">
        <v>17</v>
      </c>
      <c r="E633" s="1" t="s">
        <v>17</v>
      </c>
      <c r="F633" s="1" t="s">
        <v>17</v>
      </c>
      <c r="G633" s="1" t="s">
        <v>17</v>
      </c>
      <c r="H633" s="1" t="s">
        <v>17</v>
      </c>
      <c r="I633" s="3" t="str">
        <f aca="false">Feuil1!I633</f>
        <v>Chaussures Alpin </v>
      </c>
      <c r="J633" s="3" t="str">
        <f aca="false">Feuil1!J633</f>
        <v>nordica hawk</v>
      </c>
      <c r="K633" s="3" t="str">
        <f aca="false">Feuil1!K633</f>
        <v>45 (EU) / 29 (MP)</v>
      </c>
      <c r="L633" s="3" t="n">
        <f aca="false">Feuil1!L633</f>
        <v>55</v>
      </c>
      <c r="M633" s="1" t="s">
        <v>17</v>
      </c>
      <c r="N633" s="1" t="s">
        <v>18</v>
      </c>
      <c r="O633" s="1" t="s">
        <v>19</v>
      </c>
      <c r="P633" s="4" t="n">
        <v>45973.466099537</v>
      </c>
      <c r="Q633" s="4" t="n">
        <v>45973.466099537</v>
      </c>
    </row>
    <row r="634" customFormat="false" ht="15" hidden="false" customHeight="false" outlineLevel="0" collapsed="false">
      <c r="I634" s="3"/>
      <c r="J634" s="3"/>
      <c r="K634" s="3"/>
      <c r="L634" s="3"/>
      <c r="P634" s="4"/>
      <c r="Q634" s="4"/>
    </row>
    <row r="635" customFormat="false" ht="15" hidden="false" customHeight="false" outlineLevel="0" collapsed="false">
      <c r="I635" s="3"/>
      <c r="J635" s="3"/>
      <c r="K635" s="3"/>
      <c r="L635" s="3"/>
      <c r="P635" s="4"/>
      <c r="Q635" s="4"/>
    </row>
    <row r="636" customFormat="false" ht="15" hidden="false" customHeight="false" outlineLevel="0" collapsed="false">
      <c r="I636" s="3"/>
      <c r="J636" s="3"/>
      <c r="K636" s="3"/>
      <c r="L636" s="3"/>
      <c r="P636" s="4"/>
      <c r="Q636" s="4"/>
    </row>
    <row r="637" customFormat="false" ht="15" hidden="false" customHeight="false" outlineLevel="0" collapsed="false">
      <c r="I637" s="3"/>
      <c r="J637" s="3"/>
      <c r="K637" s="3"/>
      <c r="L637" s="3"/>
      <c r="P637" s="4"/>
      <c r="Q637" s="4"/>
    </row>
    <row r="638" customFormat="false" ht="15" hidden="false" customHeight="false" outlineLevel="0" collapsed="false">
      <c r="I638" s="3"/>
      <c r="J638" s="3"/>
      <c r="K638" s="3"/>
      <c r="L638" s="3"/>
      <c r="P638" s="4"/>
      <c r="Q638" s="4"/>
    </row>
    <row r="639" customFormat="false" ht="15" hidden="false" customHeight="false" outlineLevel="0" collapsed="false">
      <c r="I639" s="3"/>
      <c r="J639" s="3"/>
      <c r="K639" s="3"/>
      <c r="L639" s="3"/>
      <c r="P639" s="4"/>
      <c r="Q639" s="4"/>
    </row>
    <row r="640" customFormat="false" ht="15" hidden="false" customHeight="false" outlineLevel="0" collapsed="false">
      <c r="I640" s="3"/>
      <c r="J640" s="3"/>
      <c r="K640" s="3"/>
      <c r="L640" s="3"/>
      <c r="P640" s="4"/>
      <c r="Q640" s="4"/>
    </row>
    <row r="641" customFormat="false" ht="15" hidden="false" customHeight="false" outlineLevel="0" collapsed="false">
      <c r="I641" s="3"/>
      <c r="J641" s="3"/>
      <c r="K641" s="3"/>
      <c r="L641" s="3"/>
      <c r="P641" s="4"/>
      <c r="Q641" s="4"/>
    </row>
    <row r="642" customFormat="false" ht="15" hidden="false" customHeight="false" outlineLevel="0" collapsed="false">
      <c r="I642" s="3"/>
      <c r="J642" s="3"/>
      <c r="K642" s="3"/>
      <c r="L642" s="3"/>
      <c r="P642" s="4"/>
      <c r="Q642" s="4"/>
    </row>
    <row r="643" customFormat="false" ht="15" hidden="false" customHeight="false" outlineLevel="0" collapsed="false">
      <c r="I643" s="3"/>
      <c r="J643" s="3"/>
      <c r="K643" s="3"/>
      <c r="L643" s="3"/>
      <c r="P643" s="4"/>
      <c r="Q643" s="4"/>
    </row>
    <row r="644" customFormat="false" ht="15" hidden="false" customHeight="false" outlineLevel="0" collapsed="false">
      <c r="I644" s="3"/>
      <c r="J644" s="3"/>
      <c r="K644" s="3"/>
      <c r="L644" s="3"/>
      <c r="P644" s="4"/>
      <c r="Q644" s="4"/>
    </row>
    <row r="645" customFormat="false" ht="15" hidden="false" customHeight="false" outlineLevel="0" collapsed="false">
      <c r="I645" s="3"/>
      <c r="J645" s="3"/>
      <c r="K645" s="3"/>
      <c r="L645" s="3"/>
      <c r="P645" s="4"/>
      <c r="Q645" s="4"/>
    </row>
    <row r="646" customFormat="false" ht="15" hidden="false" customHeight="false" outlineLevel="0" collapsed="false">
      <c r="I646" s="3"/>
      <c r="J646" s="3"/>
      <c r="K646" s="3"/>
      <c r="L646" s="3"/>
      <c r="P646" s="4"/>
      <c r="Q646" s="4"/>
    </row>
    <row r="647" customFormat="false" ht="15" hidden="false" customHeight="false" outlineLevel="0" collapsed="false">
      <c r="I647" s="3"/>
      <c r="J647" s="3"/>
      <c r="K647" s="3"/>
      <c r="L647" s="3"/>
      <c r="P647" s="4"/>
      <c r="Q647" s="4"/>
    </row>
    <row r="648" customFormat="false" ht="15" hidden="false" customHeight="false" outlineLevel="0" collapsed="false">
      <c r="I648" s="3"/>
      <c r="J648" s="3"/>
      <c r="K648" s="3"/>
      <c r="L648" s="3"/>
      <c r="P648" s="4"/>
      <c r="Q648" s="4"/>
    </row>
    <row r="649" customFormat="false" ht="15" hidden="false" customHeight="false" outlineLevel="0" collapsed="false">
      <c r="I649" s="3"/>
      <c r="J649" s="3"/>
      <c r="K649" s="3"/>
      <c r="L649" s="3"/>
      <c r="P649" s="4"/>
      <c r="Q649" s="4"/>
    </row>
    <row r="650" customFormat="false" ht="15" hidden="false" customHeight="false" outlineLevel="0" collapsed="false">
      <c r="I650" s="3"/>
      <c r="J650" s="3"/>
      <c r="K650" s="3"/>
      <c r="L650" s="3"/>
      <c r="P650" s="4"/>
      <c r="Q650" s="4"/>
    </row>
    <row r="651" customFormat="false" ht="15" hidden="false" customHeight="false" outlineLevel="0" collapsed="false">
      <c r="I651" s="3"/>
      <c r="J651" s="3"/>
      <c r="K651" s="3"/>
      <c r="L651" s="3"/>
      <c r="P651" s="4"/>
      <c r="Q651" s="4"/>
    </row>
    <row r="652" customFormat="false" ht="15" hidden="false" customHeight="false" outlineLevel="0" collapsed="false">
      <c r="I652" s="3"/>
      <c r="J652" s="3"/>
      <c r="K652" s="3"/>
      <c r="L652" s="3"/>
      <c r="P652" s="4"/>
      <c r="Q652" s="4"/>
    </row>
    <row r="653" customFormat="false" ht="15" hidden="false" customHeight="false" outlineLevel="0" collapsed="false">
      <c r="I653" s="3"/>
      <c r="J653" s="3"/>
      <c r="K653" s="3"/>
      <c r="L653" s="3"/>
      <c r="P653" s="4"/>
      <c r="Q653" s="4"/>
    </row>
    <row r="654" customFormat="false" ht="15" hidden="false" customHeight="false" outlineLevel="0" collapsed="false">
      <c r="I654" s="3"/>
      <c r="J654" s="3"/>
      <c r="K654" s="3"/>
      <c r="L654" s="3"/>
      <c r="P654" s="4"/>
      <c r="Q654" s="4"/>
    </row>
    <row r="655" customFormat="false" ht="15" hidden="false" customHeight="false" outlineLevel="0" collapsed="false">
      <c r="I655" s="3"/>
      <c r="J655" s="3"/>
      <c r="K655" s="3"/>
      <c r="L655" s="3"/>
      <c r="P655" s="4"/>
      <c r="Q655" s="4"/>
    </row>
    <row r="656" customFormat="false" ht="15" hidden="false" customHeight="false" outlineLevel="0" collapsed="false">
      <c r="I656" s="3"/>
      <c r="J656" s="3"/>
      <c r="K656" s="3"/>
      <c r="L656" s="3"/>
      <c r="P656" s="4"/>
      <c r="Q656" s="4"/>
    </row>
    <row r="657" customFormat="false" ht="15" hidden="false" customHeight="false" outlineLevel="0" collapsed="false">
      <c r="I657" s="3"/>
      <c r="J657" s="3"/>
      <c r="K657" s="3"/>
      <c r="L657" s="3"/>
      <c r="P657" s="4"/>
      <c r="Q657" s="4"/>
    </row>
    <row r="658" customFormat="false" ht="15" hidden="false" customHeight="false" outlineLevel="0" collapsed="false">
      <c r="I658" s="3"/>
      <c r="J658" s="3"/>
      <c r="K658" s="3"/>
      <c r="L658" s="3"/>
      <c r="P658" s="4"/>
      <c r="Q658" s="4"/>
    </row>
    <row r="659" customFormat="false" ht="15" hidden="false" customHeight="false" outlineLevel="0" collapsed="false">
      <c r="I659" s="3"/>
      <c r="J659" s="3"/>
      <c r="K659" s="3"/>
      <c r="L659" s="3"/>
      <c r="P659" s="4"/>
      <c r="Q659" s="4"/>
    </row>
    <row r="660" customFormat="false" ht="15" hidden="false" customHeight="false" outlineLevel="0" collapsed="false">
      <c r="I660" s="3"/>
      <c r="J660" s="3"/>
      <c r="K660" s="3"/>
      <c r="L660" s="3"/>
      <c r="P660" s="4"/>
      <c r="Q660" s="4"/>
    </row>
    <row r="661" customFormat="false" ht="15" hidden="false" customHeight="false" outlineLevel="0" collapsed="false">
      <c r="I661" s="3"/>
      <c r="J661" s="3"/>
      <c r="K661" s="3"/>
      <c r="L661" s="3"/>
      <c r="P661" s="4"/>
      <c r="Q661" s="4"/>
    </row>
    <row r="662" customFormat="false" ht="15" hidden="false" customHeight="false" outlineLevel="0" collapsed="false">
      <c r="I662" s="3"/>
      <c r="J662" s="3"/>
      <c r="K662" s="3"/>
      <c r="L662" s="3"/>
      <c r="P662" s="4"/>
      <c r="Q662" s="4"/>
    </row>
    <row r="663" customFormat="false" ht="15" hidden="false" customHeight="false" outlineLevel="0" collapsed="false">
      <c r="I663" s="3"/>
      <c r="J663" s="3"/>
      <c r="K663" s="3"/>
      <c r="L663" s="3"/>
      <c r="P663" s="4"/>
      <c r="Q663" s="4"/>
    </row>
    <row r="664" customFormat="false" ht="15" hidden="false" customHeight="false" outlineLevel="0" collapsed="false">
      <c r="I664" s="3"/>
      <c r="J664" s="3"/>
      <c r="K664" s="3"/>
      <c r="L664" s="3"/>
      <c r="P664" s="4"/>
      <c r="Q664" s="4"/>
    </row>
    <row r="665" customFormat="false" ht="15" hidden="false" customHeight="false" outlineLevel="0" collapsed="false">
      <c r="I665" s="3"/>
      <c r="J665" s="3"/>
      <c r="K665" s="3"/>
      <c r="L665" s="3"/>
      <c r="P665" s="4"/>
      <c r="Q665" s="4"/>
    </row>
    <row r="666" customFormat="false" ht="15" hidden="false" customHeight="false" outlineLevel="0" collapsed="false">
      <c r="I666" s="3"/>
      <c r="J666" s="3"/>
      <c r="K666" s="3"/>
      <c r="L666" s="3"/>
      <c r="P666" s="4"/>
      <c r="Q666" s="4"/>
    </row>
    <row r="667" customFormat="false" ht="15" hidden="false" customHeight="false" outlineLevel="0" collapsed="false">
      <c r="I667" s="3"/>
      <c r="J667" s="3"/>
      <c r="K667" s="3"/>
      <c r="L667" s="3"/>
      <c r="P667" s="4"/>
      <c r="Q667" s="4"/>
    </row>
    <row r="668" customFormat="false" ht="15" hidden="false" customHeight="false" outlineLevel="0" collapsed="false">
      <c r="I668" s="3"/>
      <c r="J668" s="3"/>
      <c r="K668" s="3"/>
      <c r="L668" s="3"/>
      <c r="P668" s="4"/>
      <c r="Q668" s="4"/>
    </row>
    <row r="669" customFormat="false" ht="15" hidden="false" customHeight="false" outlineLevel="0" collapsed="false">
      <c r="I669" s="3"/>
      <c r="J669" s="3"/>
      <c r="K669" s="3"/>
      <c r="L669" s="3"/>
      <c r="P669" s="4"/>
      <c r="Q669" s="4"/>
    </row>
    <row r="670" customFormat="false" ht="15" hidden="false" customHeight="false" outlineLevel="0" collapsed="false">
      <c r="I670" s="3"/>
      <c r="J670" s="3"/>
      <c r="K670" s="3"/>
      <c r="L670" s="3"/>
      <c r="P670" s="4"/>
      <c r="Q670" s="4"/>
    </row>
    <row r="671" customFormat="false" ht="15" hidden="false" customHeight="false" outlineLevel="0" collapsed="false">
      <c r="I671" s="3"/>
      <c r="J671" s="3"/>
      <c r="K671" s="3"/>
      <c r="L671" s="3"/>
      <c r="P671" s="4"/>
      <c r="Q671" s="4"/>
    </row>
    <row r="672" customFormat="false" ht="15" hidden="false" customHeight="false" outlineLevel="0" collapsed="false">
      <c r="I672" s="3"/>
      <c r="J672" s="3"/>
      <c r="K672" s="3"/>
      <c r="L672" s="3"/>
      <c r="P672" s="4"/>
      <c r="Q672" s="4"/>
    </row>
    <row r="673" customFormat="false" ht="15" hidden="false" customHeight="false" outlineLevel="0" collapsed="false">
      <c r="I673" s="3"/>
      <c r="J673" s="3"/>
      <c r="K673" s="3"/>
      <c r="L673" s="3"/>
      <c r="P673" s="4"/>
      <c r="Q673" s="4"/>
    </row>
    <row r="674" customFormat="false" ht="15" hidden="false" customHeight="false" outlineLevel="0" collapsed="false">
      <c r="I674" s="3"/>
      <c r="J674" s="3"/>
      <c r="K674" s="3"/>
      <c r="L674" s="3"/>
      <c r="P674" s="4"/>
      <c r="Q674" s="4"/>
    </row>
    <row r="675" customFormat="false" ht="15" hidden="false" customHeight="false" outlineLevel="0" collapsed="false">
      <c r="I675" s="3"/>
      <c r="J675" s="3"/>
      <c r="K675" s="3"/>
      <c r="L675" s="3"/>
      <c r="P675" s="4"/>
      <c r="Q675" s="4"/>
    </row>
    <row r="676" customFormat="false" ht="15" hidden="false" customHeight="false" outlineLevel="0" collapsed="false">
      <c r="I676" s="3"/>
      <c r="J676" s="3"/>
      <c r="K676" s="3"/>
      <c r="L676" s="3"/>
      <c r="P676" s="4"/>
      <c r="Q676" s="4"/>
    </row>
    <row r="677" customFormat="false" ht="15" hidden="false" customHeight="false" outlineLevel="0" collapsed="false">
      <c r="I677" s="3"/>
      <c r="J677" s="3"/>
      <c r="K677" s="3"/>
      <c r="L677" s="3"/>
      <c r="P677" s="4"/>
      <c r="Q677" s="4"/>
    </row>
    <row r="678" customFormat="false" ht="15" hidden="false" customHeight="false" outlineLevel="0" collapsed="false">
      <c r="I678" s="3"/>
      <c r="J678" s="3"/>
      <c r="K678" s="3"/>
      <c r="L678" s="3"/>
      <c r="P678" s="4"/>
      <c r="Q678" s="4"/>
    </row>
    <row r="679" customFormat="false" ht="15" hidden="false" customHeight="false" outlineLevel="0" collapsed="false">
      <c r="I679" s="3"/>
      <c r="J679" s="3"/>
      <c r="K679" s="3"/>
      <c r="L679" s="3"/>
      <c r="P679" s="4"/>
      <c r="Q679" s="4"/>
    </row>
    <row r="680" customFormat="false" ht="15" hidden="false" customHeight="false" outlineLevel="0" collapsed="false">
      <c r="I680" s="3"/>
      <c r="J680" s="3"/>
      <c r="K680" s="3"/>
      <c r="L680" s="3"/>
      <c r="P680" s="4"/>
      <c r="Q680" s="4"/>
    </row>
    <row r="681" customFormat="false" ht="15" hidden="false" customHeight="false" outlineLevel="0" collapsed="false">
      <c r="I681" s="3"/>
      <c r="J681" s="3"/>
      <c r="K681" s="3"/>
      <c r="L681" s="3"/>
      <c r="P681" s="4"/>
      <c r="Q681" s="4"/>
    </row>
    <row r="682" customFormat="false" ht="15" hidden="false" customHeight="false" outlineLevel="0" collapsed="false">
      <c r="I682" s="3"/>
      <c r="J682" s="3"/>
      <c r="K682" s="3"/>
      <c r="L682" s="3"/>
      <c r="P682" s="4"/>
      <c r="Q682" s="4"/>
    </row>
    <row r="683" customFormat="false" ht="15" hidden="false" customHeight="false" outlineLevel="0" collapsed="false">
      <c r="I683" s="3"/>
      <c r="J683" s="3"/>
      <c r="K683" s="3"/>
      <c r="L683" s="3"/>
      <c r="P683" s="4"/>
      <c r="Q683" s="4"/>
    </row>
    <row r="684" customFormat="false" ht="15" hidden="false" customHeight="false" outlineLevel="0" collapsed="false">
      <c r="I684" s="3"/>
      <c r="J684" s="3"/>
      <c r="K684" s="3"/>
      <c r="L684" s="3"/>
      <c r="P684" s="4"/>
      <c r="Q684" s="4"/>
    </row>
    <row r="685" customFormat="false" ht="15" hidden="false" customHeight="false" outlineLevel="0" collapsed="false">
      <c r="I685" s="3"/>
      <c r="J685" s="3"/>
      <c r="K685" s="3"/>
      <c r="L685" s="3"/>
      <c r="P685" s="4"/>
      <c r="Q685" s="4"/>
    </row>
    <row r="686" customFormat="false" ht="15" hidden="false" customHeight="false" outlineLevel="0" collapsed="false">
      <c r="I686" s="3"/>
      <c r="J686" s="3"/>
      <c r="K686" s="3"/>
      <c r="L686" s="3"/>
      <c r="P686" s="4"/>
      <c r="Q686" s="4"/>
    </row>
    <row r="687" customFormat="false" ht="15" hidden="false" customHeight="false" outlineLevel="0" collapsed="false">
      <c r="I687" s="3"/>
      <c r="J687" s="3"/>
      <c r="K687" s="3"/>
      <c r="L687" s="3"/>
      <c r="P687" s="4"/>
      <c r="Q687" s="4"/>
    </row>
    <row r="688" customFormat="false" ht="15" hidden="false" customHeight="false" outlineLevel="0" collapsed="false">
      <c r="I688" s="3"/>
      <c r="J688" s="3"/>
      <c r="K688" s="3"/>
      <c r="L688" s="3"/>
      <c r="P688" s="4"/>
      <c r="Q688" s="4"/>
    </row>
    <row r="689" customFormat="false" ht="15" hidden="false" customHeight="false" outlineLevel="0" collapsed="false">
      <c r="I689" s="3"/>
      <c r="J689" s="3"/>
      <c r="K689" s="3"/>
      <c r="L689" s="3"/>
      <c r="P689" s="4"/>
      <c r="Q689" s="4"/>
    </row>
    <row r="690" customFormat="false" ht="15" hidden="false" customHeight="false" outlineLevel="0" collapsed="false">
      <c r="I690" s="3"/>
      <c r="J690" s="3"/>
      <c r="K690" s="3"/>
      <c r="L690" s="3"/>
      <c r="P690" s="4"/>
      <c r="Q690" s="4"/>
    </row>
    <row r="691" customFormat="false" ht="15" hidden="false" customHeight="false" outlineLevel="0" collapsed="false">
      <c r="I691" s="3"/>
      <c r="J691" s="3"/>
      <c r="K691" s="3"/>
      <c r="L691" s="3"/>
      <c r="P691" s="4"/>
      <c r="Q691" s="4"/>
    </row>
    <row r="692" customFormat="false" ht="15" hidden="false" customHeight="false" outlineLevel="0" collapsed="false">
      <c r="I692" s="3"/>
      <c r="J692" s="3"/>
      <c r="K692" s="3"/>
      <c r="L692" s="3"/>
      <c r="P692" s="4"/>
      <c r="Q692" s="4"/>
    </row>
    <row r="693" customFormat="false" ht="15" hidden="false" customHeight="false" outlineLevel="0" collapsed="false">
      <c r="I693" s="3"/>
      <c r="J693" s="3"/>
      <c r="K693" s="3"/>
      <c r="L693" s="3"/>
      <c r="P693" s="4"/>
      <c r="Q693" s="4"/>
    </row>
    <row r="694" customFormat="false" ht="15" hidden="false" customHeight="false" outlineLevel="0" collapsed="false">
      <c r="I694" s="3"/>
      <c r="J694" s="3"/>
      <c r="K694" s="3"/>
      <c r="L694" s="3"/>
      <c r="P694" s="4"/>
      <c r="Q694" s="4"/>
    </row>
    <row r="695" customFormat="false" ht="15" hidden="false" customHeight="false" outlineLevel="0" collapsed="false">
      <c r="I695" s="3"/>
      <c r="J695" s="3"/>
      <c r="K695" s="3"/>
      <c r="L695" s="3"/>
      <c r="P695" s="4"/>
      <c r="Q695" s="4"/>
    </row>
    <row r="696" customFormat="false" ht="15" hidden="false" customHeight="false" outlineLevel="0" collapsed="false">
      <c r="I696" s="3"/>
      <c r="J696" s="3"/>
      <c r="K696" s="3"/>
      <c r="L696" s="3"/>
      <c r="P696" s="4"/>
      <c r="Q696" s="4"/>
    </row>
    <row r="697" customFormat="false" ht="15" hidden="false" customHeight="false" outlineLevel="0" collapsed="false">
      <c r="I697" s="3"/>
      <c r="J697" s="3"/>
      <c r="K697" s="3"/>
      <c r="L697" s="3"/>
      <c r="P697" s="4"/>
      <c r="Q697" s="4"/>
    </row>
    <row r="698" customFormat="false" ht="15" hidden="false" customHeight="false" outlineLevel="0" collapsed="false">
      <c r="I698" s="3"/>
      <c r="J698" s="3"/>
      <c r="K698" s="3"/>
      <c r="L698" s="3"/>
      <c r="P698" s="4"/>
      <c r="Q698" s="4"/>
    </row>
    <row r="699" customFormat="false" ht="15" hidden="false" customHeight="false" outlineLevel="0" collapsed="false">
      <c r="I699" s="3"/>
      <c r="J699" s="3"/>
      <c r="K699" s="3"/>
      <c r="L699" s="3"/>
      <c r="P699" s="4"/>
      <c r="Q699" s="4"/>
    </row>
    <row r="700" customFormat="false" ht="15" hidden="false" customHeight="false" outlineLevel="0" collapsed="false">
      <c r="I700" s="3"/>
      <c r="J700" s="3"/>
      <c r="K700" s="3"/>
      <c r="L700" s="3"/>
      <c r="P700" s="4"/>
      <c r="Q700" s="4"/>
    </row>
    <row r="701" customFormat="false" ht="15" hidden="false" customHeight="false" outlineLevel="0" collapsed="false">
      <c r="I701" s="3"/>
      <c r="J701" s="3"/>
      <c r="K701" s="3"/>
      <c r="L701" s="3"/>
      <c r="P701" s="4"/>
      <c r="Q701" s="4"/>
    </row>
    <row r="702" customFormat="false" ht="15" hidden="false" customHeight="false" outlineLevel="0" collapsed="false">
      <c r="I702" s="3"/>
      <c r="J702" s="3"/>
      <c r="K702" s="3"/>
      <c r="L702" s="3"/>
      <c r="P702" s="4"/>
      <c r="Q702" s="4"/>
    </row>
    <row r="703" customFormat="false" ht="15" hidden="false" customHeight="false" outlineLevel="0" collapsed="false">
      <c r="I703" s="3"/>
      <c r="J703" s="3"/>
      <c r="K703" s="3"/>
      <c r="L703" s="3"/>
      <c r="P703" s="4"/>
      <c r="Q703" s="4"/>
    </row>
    <row r="704" customFormat="false" ht="15" hidden="false" customHeight="false" outlineLevel="0" collapsed="false">
      <c r="I704" s="3"/>
      <c r="J704" s="3"/>
      <c r="K704" s="3"/>
      <c r="L704" s="3"/>
      <c r="P704" s="4"/>
      <c r="Q704" s="4"/>
    </row>
    <row r="705" customFormat="false" ht="15" hidden="false" customHeight="false" outlineLevel="0" collapsed="false">
      <c r="I705" s="3"/>
      <c r="J705" s="3"/>
      <c r="K705" s="3"/>
      <c r="L705" s="3"/>
      <c r="P705" s="4"/>
      <c r="Q705" s="4"/>
    </row>
    <row r="706" customFormat="false" ht="15" hidden="false" customHeight="false" outlineLevel="0" collapsed="false">
      <c r="I706" s="3"/>
      <c r="J706" s="3"/>
      <c r="K706" s="3"/>
      <c r="L706" s="3"/>
      <c r="P706" s="4"/>
      <c r="Q706" s="4"/>
    </row>
    <row r="707" customFormat="false" ht="15" hidden="false" customHeight="false" outlineLevel="0" collapsed="false">
      <c r="I707" s="3"/>
      <c r="J707" s="3"/>
      <c r="K707" s="3"/>
      <c r="L707" s="3"/>
      <c r="P707" s="4"/>
      <c r="Q707" s="4"/>
    </row>
    <row r="708" customFormat="false" ht="15" hidden="false" customHeight="false" outlineLevel="0" collapsed="false">
      <c r="I708" s="3"/>
      <c r="J708" s="3"/>
      <c r="K708" s="3"/>
      <c r="L708" s="3"/>
      <c r="P708" s="4"/>
      <c r="Q708" s="4"/>
    </row>
    <row r="709" customFormat="false" ht="15" hidden="false" customHeight="false" outlineLevel="0" collapsed="false">
      <c r="I709" s="3"/>
      <c r="J709" s="3"/>
      <c r="K709" s="3"/>
      <c r="L709" s="3"/>
      <c r="P709" s="4"/>
      <c r="Q709" s="4"/>
    </row>
    <row r="710" customFormat="false" ht="15" hidden="false" customHeight="false" outlineLevel="0" collapsed="false">
      <c r="I710" s="3"/>
      <c r="J710" s="3"/>
      <c r="K710" s="3"/>
      <c r="L710" s="3"/>
      <c r="P710" s="4"/>
      <c r="Q710" s="4"/>
    </row>
    <row r="711" customFormat="false" ht="15" hidden="false" customHeight="false" outlineLevel="0" collapsed="false">
      <c r="I711" s="3"/>
      <c r="J711" s="3"/>
      <c r="K711" s="3"/>
      <c r="L711" s="3"/>
      <c r="P711" s="4"/>
      <c r="Q711" s="4"/>
    </row>
    <row r="712" customFormat="false" ht="15" hidden="false" customHeight="false" outlineLevel="0" collapsed="false">
      <c r="I712" s="3"/>
      <c r="J712" s="3"/>
      <c r="K712" s="3"/>
      <c r="L712" s="3"/>
      <c r="P712" s="4"/>
      <c r="Q712" s="4"/>
    </row>
    <row r="713" customFormat="false" ht="15" hidden="false" customHeight="false" outlineLevel="0" collapsed="false">
      <c r="I713" s="3"/>
      <c r="J713" s="3"/>
      <c r="K713" s="3"/>
      <c r="L713" s="3"/>
      <c r="P713" s="4"/>
      <c r="Q713" s="4"/>
    </row>
    <row r="714" customFormat="false" ht="15" hidden="false" customHeight="false" outlineLevel="0" collapsed="false">
      <c r="I714" s="3"/>
      <c r="J714" s="3"/>
      <c r="K714" s="3"/>
      <c r="L714" s="3"/>
      <c r="P714" s="4"/>
      <c r="Q714" s="4"/>
    </row>
    <row r="715" customFormat="false" ht="15" hidden="false" customHeight="false" outlineLevel="0" collapsed="false">
      <c r="I715" s="3"/>
      <c r="J715" s="3"/>
      <c r="K715" s="3"/>
      <c r="L715" s="3"/>
      <c r="P715" s="4"/>
      <c r="Q715" s="4"/>
    </row>
    <row r="716" customFormat="false" ht="15" hidden="false" customHeight="false" outlineLevel="0" collapsed="false">
      <c r="I716" s="3"/>
      <c r="J716" s="3"/>
      <c r="K716" s="3"/>
      <c r="L716" s="3"/>
      <c r="P716" s="4"/>
      <c r="Q716" s="4"/>
    </row>
    <row r="717" customFormat="false" ht="15" hidden="false" customHeight="false" outlineLevel="0" collapsed="false">
      <c r="I717" s="3"/>
      <c r="J717" s="3"/>
      <c r="K717" s="3"/>
      <c r="L717" s="3"/>
      <c r="P717" s="4"/>
      <c r="Q717" s="4"/>
    </row>
    <row r="718" customFormat="false" ht="15" hidden="false" customHeight="false" outlineLevel="0" collapsed="false">
      <c r="I718" s="3"/>
      <c r="J718" s="3"/>
      <c r="K718" s="3"/>
      <c r="L718" s="3"/>
      <c r="P718" s="4"/>
      <c r="Q718" s="4"/>
    </row>
    <row r="719" customFormat="false" ht="15" hidden="false" customHeight="false" outlineLevel="0" collapsed="false">
      <c r="I719" s="3"/>
      <c r="J719" s="3"/>
      <c r="K719" s="3"/>
      <c r="L719" s="3"/>
      <c r="P719" s="4"/>
      <c r="Q719" s="4"/>
    </row>
    <row r="720" customFormat="false" ht="15" hidden="false" customHeight="false" outlineLevel="0" collapsed="false">
      <c r="I720" s="3"/>
      <c r="J720" s="3"/>
      <c r="K720" s="3"/>
      <c r="L720" s="3"/>
      <c r="P720" s="4"/>
      <c r="Q720" s="4"/>
    </row>
    <row r="721" customFormat="false" ht="15" hidden="false" customHeight="false" outlineLevel="0" collapsed="false">
      <c r="I721" s="3"/>
      <c r="J721" s="3"/>
      <c r="K721" s="3"/>
      <c r="L721" s="3"/>
      <c r="P721" s="4"/>
      <c r="Q721" s="4"/>
    </row>
    <row r="722" customFormat="false" ht="15" hidden="false" customHeight="false" outlineLevel="0" collapsed="false">
      <c r="I722" s="3"/>
      <c r="J722" s="3"/>
      <c r="K722" s="3"/>
      <c r="L722" s="3"/>
      <c r="P722" s="4"/>
      <c r="Q722" s="4"/>
    </row>
    <row r="723" customFormat="false" ht="15" hidden="false" customHeight="false" outlineLevel="0" collapsed="false">
      <c r="I723" s="3"/>
      <c r="J723" s="3"/>
      <c r="K723" s="3"/>
      <c r="L723" s="3"/>
      <c r="P723" s="4"/>
      <c r="Q723" s="4"/>
    </row>
    <row r="724" customFormat="false" ht="15" hidden="false" customHeight="false" outlineLevel="0" collapsed="false">
      <c r="I724" s="3"/>
      <c r="J724" s="3"/>
      <c r="K724" s="3"/>
      <c r="L724" s="3"/>
      <c r="P724" s="4"/>
      <c r="Q724" s="4"/>
    </row>
    <row r="725" customFormat="false" ht="15" hidden="false" customHeight="false" outlineLevel="0" collapsed="false">
      <c r="I725" s="3"/>
      <c r="J725" s="3"/>
      <c r="K725" s="3"/>
      <c r="L725" s="3"/>
      <c r="P725" s="4"/>
      <c r="Q725" s="4"/>
    </row>
    <row r="726" customFormat="false" ht="15" hidden="false" customHeight="false" outlineLevel="0" collapsed="false">
      <c r="I726" s="3"/>
      <c r="J726" s="3"/>
      <c r="K726" s="3"/>
      <c r="L726" s="3"/>
      <c r="P726" s="4"/>
      <c r="Q726" s="4"/>
    </row>
    <row r="727" customFormat="false" ht="15" hidden="false" customHeight="false" outlineLevel="0" collapsed="false">
      <c r="I727" s="3"/>
      <c r="J727" s="3"/>
      <c r="K727" s="3"/>
      <c r="L727" s="3"/>
      <c r="P727" s="4"/>
      <c r="Q727" s="4"/>
    </row>
    <row r="728" customFormat="false" ht="15" hidden="false" customHeight="false" outlineLevel="0" collapsed="false">
      <c r="I728" s="3"/>
      <c r="J728" s="3"/>
      <c r="K728" s="3"/>
      <c r="L728" s="3"/>
      <c r="P728" s="4"/>
      <c r="Q728" s="4"/>
    </row>
    <row r="729" customFormat="false" ht="15" hidden="false" customHeight="false" outlineLevel="0" collapsed="false">
      <c r="I729" s="3"/>
      <c r="J729" s="3"/>
      <c r="K729" s="3"/>
      <c r="L729" s="3"/>
      <c r="P729" s="4"/>
      <c r="Q729" s="4"/>
    </row>
    <row r="730" customFormat="false" ht="15" hidden="false" customHeight="false" outlineLevel="0" collapsed="false">
      <c r="I730" s="3"/>
      <c r="J730" s="3"/>
      <c r="K730" s="3"/>
      <c r="L730" s="3"/>
      <c r="P730" s="4"/>
      <c r="Q730" s="4"/>
    </row>
    <row r="731" customFormat="false" ht="15" hidden="false" customHeight="false" outlineLevel="0" collapsed="false">
      <c r="I731" s="3"/>
      <c r="J731" s="3"/>
      <c r="K731" s="3"/>
      <c r="L731" s="3"/>
      <c r="P731" s="4"/>
      <c r="Q731" s="4"/>
    </row>
    <row r="732" customFormat="false" ht="15" hidden="false" customHeight="false" outlineLevel="0" collapsed="false">
      <c r="I732" s="3"/>
      <c r="J732" s="3"/>
      <c r="K732" s="3"/>
      <c r="L732" s="3"/>
      <c r="P732" s="4"/>
      <c r="Q732" s="4"/>
    </row>
    <row r="733" customFormat="false" ht="15" hidden="false" customHeight="false" outlineLevel="0" collapsed="false">
      <c r="I733" s="3"/>
      <c r="J733" s="3"/>
      <c r="K733" s="3"/>
      <c r="L733" s="3"/>
      <c r="P733" s="4"/>
      <c r="Q733" s="4"/>
    </row>
    <row r="734" customFormat="false" ht="15" hidden="false" customHeight="false" outlineLevel="0" collapsed="false">
      <c r="I734" s="3"/>
      <c r="J734" s="3"/>
      <c r="K734" s="3"/>
      <c r="L734" s="3"/>
      <c r="P734" s="4"/>
      <c r="Q734" s="4"/>
    </row>
    <row r="735" customFormat="false" ht="15" hidden="false" customHeight="false" outlineLevel="0" collapsed="false">
      <c r="I735" s="3"/>
      <c r="J735" s="3"/>
      <c r="K735" s="3"/>
      <c r="L735" s="3"/>
      <c r="P735" s="4"/>
      <c r="Q735" s="4"/>
    </row>
    <row r="736" customFormat="false" ht="15" hidden="false" customHeight="false" outlineLevel="0" collapsed="false">
      <c r="I736" s="3"/>
      <c r="J736" s="3"/>
      <c r="K736" s="3"/>
      <c r="L736" s="3"/>
      <c r="P736" s="4"/>
      <c r="Q736" s="4"/>
    </row>
    <row r="737" customFormat="false" ht="15" hidden="false" customHeight="false" outlineLevel="0" collapsed="false">
      <c r="I737" s="3"/>
      <c r="J737" s="3"/>
      <c r="K737" s="3"/>
      <c r="L737" s="3"/>
      <c r="P737" s="4"/>
      <c r="Q737" s="4"/>
    </row>
    <row r="738" customFormat="false" ht="15" hidden="false" customHeight="false" outlineLevel="0" collapsed="false">
      <c r="I738" s="3"/>
      <c r="J738" s="3"/>
      <c r="K738" s="3"/>
      <c r="L738" s="3"/>
      <c r="P738" s="4"/>
      <c r="Q738" s="4"/>
    </row>
    <row r="739" customFormat="false" ht="15" hidden="false" customHeight="false" outlineLevel="0" collapsed="false">
      <c r="I739" s="3"/>
      <c r="J739" s="3"/>
      <c r="K739" s="3"/>
      <c r="L739" s="3"/>
      <c r="P739" s="4"/>
      <c r="Q739" s="4"/>
    </row>
    <row r="740" customFormat="false" ht="15" hidden="false" customHeight="false" outlineLevel="0" collapsed="false">
      <c r="I740" s="3"/>
      <c r="J740" s="3"/>
      <c r="K740" s="3"/>
      <c r="L740" s="3"/>
      <c r="P740" s="4"/>
      <c r="Q740" s="4"/>
    </row>
    <row r="741" customFormat="false" ht="15" hidden="false" customHeight="false" outlineLevel="0" collapsed="false">
      <c r="I741" s="3"/>
      <c r="J741" s="3"/>
      <c r="K741" s="3"/>
      <c r="L741" s="3"/>
      <c r="P741" s="4"/>
      <c r="Q741" s="4"/>
    </row>
    <row r="742" customFormat="false" ht="15" hidden="false" customHeight="false" outlineLevel="0" collapsed="false">
      <c r="I742" s="3"/>
      <c r="J742" s="3"/>
      <c r="K742" s="3"/>
      <c r="L742" s="3"/>
      <c r="P742" s="4"/>
      <c r="Q742" s="4"/>
    </row>
    <row r="743" customFormat="false" ht="15" hidden="false" customHeight="false" outlineLevel="0" collapsed="false">
      <c r="I743" s="3"/>
    </row>
    <row r="744" customFormat="false" ht="15" hidden="false" customHeight="false" outlineLevel="0" collapsed="false">
      <c r="I744" s="3"/>
    </row>
    <row r="745" customFormat="false" ht="15" hidden="false" customHeight="false" outlineLevel="0" collapsed="false">
      <c r="I745" s="3"/>
    </row>
    <row r="746" customFormat="false" ht="15" hidden="false" customHeight="false" outlineLevel="0" collapsed="false">
      <c r="I746" s="3"/>
    </row>
    <row r="747" customFormat="false" ht="15" hidden="false" customHeight="false" outlineLevel="0" collapsed="false">
      <c r="I747" s="3"/>
    </row>
    <row r="748" customFormat="false" ht="15" hidden="false" customHeight="false" outlineLevel="0" collapsed="false">
      <c r="I748" s="3"/>
    </row>
    <row r="749" customFormat="false" ht="15" hidden="false" customHeight="false" outlineLevel="0" collapsed="false">
      <c r="I749" s="3"/>
    </row>
    <row r="750" customFormat="false" ht="15" hidden="false" customHeight="false" outlineLevel="0" collapsed="false">
      <c r="I750" s="3"/>
    </row>
    <row r="751" customFormat="false" ht="15" hidden="false" customHeight="false" outlineLevel="0" collapsed="false">
      <c r="I751" s="3"/>
    </row>
    <row r="752" customFormat="false" ht="15" hidden="false" customHeight="false" outlineLevel="0" collapsed="false">
      <c r="I752" s="3"/>
    </row>
    <row r="753" customFormat="false" ht="15" hidden="false" customHeight="false" outlineLevel="0" collapsed="false">
      <c r="I753" s="3"/>
    </row>
    <row r="754" customFormat="false" ht="15" hidden="false" customHeight="false" outlineLevel="0" collapsed="false">
      <c r="I754" s="3"/>
    </row>
    <row r="755" customFormat="false" ht="15" hidden="false" customHeight="false" outlineLevel="0" collapsed="false">
      <c r="I755" s="3"/>
    </row>
    <row r="756" customFormat="false" ht="15" hidden="false" customHeight="false" outlineLevel="0" collapsed="false">
      <c r="I756" s="3"/>
    </row>
    <row r="757" customFormat="false" ht="15" hidden="false" customHeight="false" outlineLevel="0" collapsed="false">
      <c r="I757" s="3"/>
    </row>
    <row r="758" customFormat="false" ht="15" hidden="false" customHeight="false" outlineLevel="0" collapsed="false">
      <c r="I758" s="3"/>
    </row>
    <row r="759" customFormat="false" ht="15" hidden="false" customHeight="false" outlineLevel="0" collapsed="false">
      <c r="I759" s="3"/>
    </row>
    <row r="760" customFormat="false" ht="15" hidden="false" customHeight="false" outlineLevel="0" collapsed="false">
      <c r="I760" s="3"/>
    </row>
    <row r="761" customFormat="false" ht="15" hidden="false" customHeight="false" outlineLevel="0" collapsed="false">
      <c r="I761" s="3"/>
    </row>
    <row r="762" customFormat="false" ht="15" hidden="false" customHeight="false" outlineLevel="0" collapsed="false">
      <c r="I762" s="3"/>
    </row>
    <row r="763" customFormat="false" ht="15" hidden="false" customHeight="false" outlineLevel="0" collapsed="false">
      <c r="I763" s="3"/>
    </row>
    <row r="764" customFormat="false" ht="15" hidden="false" customHeight="false" outlineLevel="0" collapsed="false">
      <c r="I764" s="3"/>
    </row>
    <row r="765" customFormat="false" ht="15" hidden="false" customHeight="false" outlineLevel="0" collapsed="false">
      <c r="I765" s="3"/>
    </row>
    <row r="766" customFormat="false" ht="15" hidden="false" customHeight="false" outlineLevel="0" collapsed="false">
      <c r="I766" s="3"/>
    </row>
    <row r="767" customFormat="false" ht="15" hidden="false" customHeight="false" outlineLevel="0" collapsed="false">
      <c r="I767" s="3"/>
    </row>
    <row r="768" customFormat="false" ht="15" hidden="false" customHeight="false" outlineLevel="0" collapsed="false">
      <c r="I768" s="3"/>
    </row>
    <row r="769" customFormat="false" ht="15" hidden="false" customHeight="false" outlineLevel="0" collapsed="false">
      <c r="I769" s="3"/>
    </row>
    <row r="770" customFormat="false" ht="15" hidden="false" customHeight="false" outlineLevel="0" collapsed="false">
      <c r="I770" s="3"/>
    </row>
    <row r="771" customFormat="false" ht="15" hidden="false" customHeight="false" outlineLevel="0" collapsed="false">
      <c r="I771" s="3"/>
    </row>
    <row r="772" customFormat="false" ht="15" hidden="false" customHeight="false" outlineLevel="0" collapsed="false">
      <c r="I772" s="3"/>
    </row>
    <row r="773" customFormat="false" ht="15" hidden="false" customHeight="false" outlineLevel="0" collapsed="false">
      <c r="I773" s="3"/>
    </row>
    <row r="774" customFormat="false" ht="15" hidden="false" customHeight="false" outlineLevel="0" collapsed="false">
      <c r="I774" s="3"/>
    </row>
    <row r="775" customFormat="false" ht="15" hidden="false" customHeight="false" outlineLevel="0" collapsed="false">
      <c r="I775" s="3"/>
    </row>
    <row r="776" customFormat="false" ht="15" hidden="false" customHeight="false" outlineLevel="0" collapsed="false">
      <c r="I776" s="3"/>
    </row>
    <row r="777" customFormat="false" ht="15" hidden="false" customHeight="false" outlineLevel="0" collapsed="false">
      <c r="I777" s="3"/>
    </row>
    <row r="778" customFormat="false" ht="15" hidden="false" customHeight="false" outlineLevel="0" collapsed="false">
      <c r="I778" s="3"/>
    </row>
    <row r="779" customFormat="false" ht="15" hidden="false" customHeight="false" outlineLevel="0" collapsed="false">
      <c r="I779" s="3"/>
    </row>
    <row r="780" customFormat="false" ht="15" hidden="false" customHeight="false" outlineLevel="0" collapsed="false">
      <c r="I780" s="3"/>
    </row>
    <row r="781" customFormat="false" ht="15" hidden="false" customHeight="false" outlineLevel="0" collapsed="false">
      <c r="I781" s="3"/>
    </row>
    <row r="782" customFormat="false" ht="15" hidden="false" customHeight="false" outlineLevel="0" collapsed="false">
      <c r="I782" s="3"/>
    </row>
    <row r="783" customFormat="false" ht="15" hidden="false" customHeight="false" outlineLevel="0" collapsed="false">
      <c r="I783" s="3"/>
    </row>
    <row r="784" customFormat="false" ht="15" hidden="false" customHeight="false" outlineLevel="0" collapsed="false">
      <c r="I784" s="3"/>
    </row>
    <row r="785" customFormat="false" ht="15" hidden="false" customHeight="false" outlineLevel="0" collapsed="false">
      <c r="I785" s="3"/>
    </row>
    <row r="786" customFormat="false" ht="15" hidden="false" customHeight="false" outlineLevel="0" collapsed="false">
      <c r="I786" s="3"/>
    </row>
    <row r="787" customFormat="false" ht="15" hidden="false" customHeight="false" outlineLevel="0" collapsed="false">
      <c r="I787" s="3"/>
    </row>
    <row r="788" customFormat="false" ht="15" hidden="false" customHeight="false" outlineLevel="0" collapsed="false">
      <c r="I788" s="3"/>
    </row>
    <row r="789" customFormat="false" ht="15" hidden="false" customHeight="false" outlineLevel="0" collapsed="false">
      <c r="I789" s="3"/>
    </row>
    <row r="790" customFormat="false" ht="15" hidden="false" customHeight="false" outlineLevel="0" collapsed="false">
      <c r="I790" s="3"/>
    </row>
    <row r="791" customFormat="false" ht="15" hidden="false" customHeight="false" outlineLevel="0" collapsed="false">
      <c r="I791" s="3"/>
    </row>
    <row r="792" customFormat="false" ht="15" hidden="false" customHeight="false" outlineLevel="0" collapsed="false">
      <c r="I792" s="3"/>
    </row>
    <row r="793" customFormat="false" ht="15" hidden="false" customHeight="false" outlineLevel="0" collapsed="false">
      <c r="I793" s="3"/>
    </row>
    <row r="794" customFormat="false" ht="15" hidden="false" customHeight="false" outlineLevel="0" collapsed="false">
      <c r="I794" s="3"/>
    </row>
    <row r="795" customFormat="false" ht="15" hidden="false" customHeight="false" outlineLevel="0" collapsed="false">
      <c r="I795" s="3"/>
    </row>
    <row r="796" customFormat="false" ht="15" hidden="false" customHeight="false" outlineLevel="0" collapsed="false">
      <c r="I796" s="3"/>
    </row>
    <row r="797" customFormat="false" ht="15" hidden="false" customHeight="false" outlineLevel="0" collapsed="false">
      <c r="I797" s="3"/>
    </row>
    <row r="798" customFormat="false" ht="15" hidden="false" customHeight="false" outlineLevel="0" collapsed="false">
      <c r="I798" s="3"/>
    </row>
    <row r="799" customFormat="false" ht="15" hidden="false" customHeight="false" outlineLevel="0" collapsed="false">
      <c r="I799" s="3"/>
    </row>
    <row r="800" customFormat="false" ht="15" hidden="false" customHeight="false" outlineLevel="0" collapsed="false">
      <c r="I800" s="3"/>
    </row>
    <row r="801" customFormat="false" ht="15" hidden="false" customHeight="false" outlineLevel="0" collapsed="false">
      <c r="I801" s="3"/>
    </row>
    <row r="802" customFormat="false" ht="15" hidden="false" customHeight="false" outlineLevel="0" collapsed="false">
      <c r="I802" s="3"/>
    </row>
    <row r="803" customFormat="false" ht="15" hidden="false" customHeight="false" outlineLevel="0" collapsed="false">
      <c r="I803" s="3"/>
    </row>
    <row r="804" customFormat="false" ht="15" hidden="false" customHeight="false" outlineLevel="0" collapsed="false">
      <c r="I804" s="3"/>
    </row>
    <row r="805" customFormat="false" ht="15" hidden="false" customHeight="false" outlineLevel="0" collapsed="false">
      <c r="I805" s="3"/>
    </row>
    <row r="806" customFormat="false" ht="15" hidden="false" customHeight="false" outlineLevel="0" collapsed="false">
      <c r="I806" s="3"/>
    </row>
    <row r="807" customFormat="false" ht="15" hidden="false" customHeight="false" outlineLevel="0" collapsed="false">
      <c r="I807" s="3"/>
    </row>
    <row r="808" customFormat="false" ht="15" hidden="false" customHeight="false" outlineLevel="0" collapsed="false">
      <c r="I808" s="3"/>
    </row>
    <row r="809" customFormat="false" ht="15" hidden="false" customHeight="false" outlineLevel="0" collapsed="false">
      <c r="I809" s="3"/>
    </row>
    <row r="810" customFormat="false" ht="15" hidden="false" customHeight="false" outlineLevel="0" collapsed="false">
      <c r="I810" s="3"/>
    </row>
    <row r="811" customFormat="false" ht="15" hidden="false" customHeight="false" outlineLevel="0" collapsed="false">
      <c r="I811" s="3"/>
    </row>
    <row r="812" customFormat="false" ht="15" hidden="false" customHeight="false" outlineLevel="0" collapsed="false">
      <c r="I812" s="3"/>
    </row>
    <row r="813" customFormat="false" ht="15" hidden="false" customHeight="false" outlineLevel="0" collapsed="false">
      <c r="I813" s="3"/>
    </row>
    <row r="814" customFormat="false" ht="15" hidden="false" customHeight="false" outlineLevel="0" collapsed="false">
      <c r="I814" s="3"/>
    </row>
    <row r="815" customFormat="false" ht="15" hidden="false" customHeight="false" outlineLevel="0" collapsed="false">
      <c r="I815" s="3"/>
    </row>
    <row r="816" customFormat="false" ht="15" hidden="false" customHeight="false" outlineLevel="0" collapsed="false">
      <c r="I816" s="3"/>
    </row>
    <row r="817" customFormat="false" ht="15" hidden="false" customHeight="false" outlineLevel="0" collapsed="false">
      <c r="I817" s="3"/>
    </row>
    <row r="818" customFormat="false" ht="15" hidden="false" customHeight="false" outlineLevel="0" collapsed="false">
      <c r="I818" s="3"/>
    </row>
    <row r="819" customFormat="false" ht="15" hidden="false" customHeight="false" outlineLevel="0" collapsed="false">
      <c r="I819" s="3"/>
    </row>
    <row r="820" customFormat="false" ht="15" hidden="false" customHeight="false" outlineLevel="0" collapsed="false">
      <c r="I820" s="3"/>
    </row>
    <row r="821" customFormat="false" ht="15" hidden="false" customHeight="false" outlineLevel="0" collapsed="false">
      <c r="I821" s="3"/>
    </row>
    <row r="822" customFormat="false" ht="15" hidden="false" customHeight="false" outlineLevel="0" collapsed="false">
      <c r="I822" s="3"/>
    </row>
    <row r="823" customFormat="false" ht="15" hidden="false" customHeight="false" outlineLevel="0" collapsed="false">
      <c r="I823" s="3"/>
    </row>
    <row r="824" customFormat="false" ht="15" hidden="false" customHeight="false" outlineLevel="0" collapsed="false">
      <c r="I824" s="3"/>
    </row>
    <row r="825" customFormat="false" ht="15" hidden="false" customHeight="false" outlineLevel="0" collapsed="false">
      <c r="I825" s="3"/>
    </row>
    <row r="826" customFormat="false" ht="15" hidden="false" customHeight="false" outlineLevel="0" collapsed="false">
      <c r="I826" s="3"/>
    </row>
    <row r="827" customFormat="false" ht="15" hidden="false" customHeight="false" outlineLevel="0" collapsed="false">
      <c r="I827" s="3"/>
    </row>
    <row r="828" customFormat="false" ht="15" hidden="false" customHeight="false" outlineLevel="0" collapsed="false">
      <c r="I828" s="3"/>
    </row>
    <row r="829" customFormat="false" ht="15" hidden="false" customHeight="false" outlineLevel="0" collapsed="false">
      <c r="I829" s="3"/>
    </row>
    <row r="830" customFormat="false" ht="15" hidden="false" customHeight="false" outlineLevel="0" collapsed="false">
      <c r="I830" s="3"/>
    </row>
    <row r="831" customFormat="false" ht="15" hidden="false" customHeight="false" outlineLevel="0" collapsed="false">
      <c r="I831" s="3"/>
    </row>
    <row r="832" customFormat="false" ht="15" hidden="false" customHeight="false" outlineLevel="0" collapsed="false">
      <c r="I832" s="3"/>
    </row>
    <row r="833" customFormat="false" ht="15" hidden="false" customHeight="false" outlineLevel="0" collapsed="false">
      <c r="I833" s="3"/>
    </row>
    <row r="834" customFormat="false" ht="15" hidden="false" customHeight="false" outlineLevel="0" collapsed="false">
      <c r="I834" s="3"/>
    </row>
    <row r="835" customFormat="false" ht="15" hidden="false" customHeight="false" outlineLevel="0" collapsed="false">
      <c r="I835" s="3"/>
    </row>
    <row r="836" customFormat="false" ht="15" hidden="false" customHeight="false" outlineLevel="0" collapsed="false">
      <c r="I836" s="3"/>
    </row>
    <row r="837" customFormat="false" ht="15" hidden="false" customHeight="false" outlineLevel="0" collapsed="false">
      <c r="I837" s="3"/>
    </row>
    <row r="838" customFormat="false" ht="15" hidden="false" customHeight="false" outlineLevel="0" collapsed="false">
      <c r="I838" s="3"/>
    </row>
    <row r="839" customFormat="false" ht="15" hidden="false" customHeight="false" outlineLevel="0" collapsed="false">
      <c r="I839" s="3"/>
    </row>
    <row r="840" customFormat="false" ht="15" hidden="false" customHeight="false" outlineLevel="0" collapsed="false">
      <c r="I840" s="3"/>
    </row>
    <row r="841" customFormat="false" ht="15" hidden="false" customHeight="false" outlineLevel="0" collapsed="false">
      <c r="I841" s="3"/>
    </row>
    <row r="842" customFormat="false" ht="15" hidden="false" customHeight="false" outlineLevel="0" collapsed="false">
      <c r="I842" s="3"/>
    </row>
    <row r="843" customFormat="false" ht="15" hidden="false" customHeight="false" outlineLevel="0" collapsed="false">
      <c r="I843" s="3"/>
    </row>
    <row r="844" customFormat="false" ht="15" hidden="false" customHeight="false" outlineLevel="0" collapsed="false">
      <c r="I844" s="3"/>
    </row>
    <row r="845" customFormat="false" ht="15" hidden="false" customHeight="false" outlineLevel="0" collapsed="false">
      <c r="I845" s="3"/>
    </row>
    <row r="846" customFormat="false" ht="15" hidden="false" customHeight="false" outlineLevel="0" collapsed="false">
      <c r="I846" s="3"/>
    </row>
    <row r="847" customFormat="false" ht="15" hidden="false" customHeight="false" outlineLevel="0" collapsed="false">
      <c r="I847" s="3"/>
    </row>
    <row r="848" customFormat="false" ht="15" hidden="false" customHeight="false" outlineLevel="0" collapsed="false">
      <c r="I848" s="3"/>
    </row>
    <row r="849" customFormat="false" ht="15" hidden="false" customHeight="false" outlineLevel="0" collapsed="false">
      <c r="I849" s="3"/>
    </row>
    <row r="850" customFormat="false" ht="15" hidden="false" customHeight="false" outlineLevel="0" collapsed="false">
      <c r="I850" s="3"/>
    </row>
    <row r="851" customFormat="false" ht="15" hidden="false" customHeight="false" outlineLevel="0" collapsed="false">
      <c r="I851" s="3"/>
    </row>
    <row r="852" customFormat="false" ht="15" hidden="false" customHeight="false" outlineLevel="0" collapsed="false">
      <c r="I852" s="3"/>
    </row>
    <row r="853" customFormat="false" ht="15" hidden="false" customHeight="false" outlineLevel="0" collapsed="false">
      <c r="I853" s="3"/>
    </row>
    <row r="854" customFormat="false" ht="15" hidden="false" customHeight="false" outlineLevel="0" collapsed="false">
      <c r="I854" s="3"/>
    </row>
    <row r="855" customFormat="false" ht="15" hidden="false" customHeight="false" outlineLevel="0" collapsed="false">
      <c r="I855" s="3"/>
    </row>
    <row r="856" customFormat="false" ht="15" hidden="false" customHeight="false" outlineLevel="0" collapsed="false">
      <c r="I856" s="3"/>
    </row>
    <row r="857" customFormat="false" ht="15" hidden="false" customHeight="false" outlineLevel="0" collapsed="false">
      <c r="I857" s="3"/>
    </row>
    <row r="858" customFormat="false" ht="15" hidden="false" customHeight="false" outlineLevel="0" collapsed="false">
      <c r="I858" s="3"/>
    </row>
    <row r="859" customFormat="false" ht="15" hidden="false" customHeight="false" outlineLevel="0" collapsed="false">
      <c r="I859" s="3"/>
    </row>
    <row r="860" customFormat="false" ht="15" hidden="false" customHeight="false" outlineLevel="0" collapsed="false">
      <c r="I860" s="3"/>
    </row>
    <row r="861" customFormat="false" ht="15" hidden="false" customHeight="false" outlineLevel="0" collapsed="false">
      <c r="I861" s="3"/>
    </row>
    <row r="862" customFormat="false" ht="15" hidden="false" customHeight="false" outlineLevel="0" collapsed="false">
      <c r="I862" s="3"/>
    </row>
    <row r="863" customFormat="false" ht="15" hidden="false" customHeight="false" outlineLevel="0" collapsed="false">
      <c r="I863" s="3"/>
    </row>
    <row r="864" customFormat="false" ht="15" hidden="false" customHeight="false" outlineLevel="0" collapsed="false">
      <c r="I864" s="3"/>
    </row>
    <row r="865" customFormat="false" ht="15" hidden="false" customHeight="false" outlineLevel="0" collapsed="false">
      <c r="I865" s="3"/>
    </row>
    <row r="866" customFormat="false" ht="15" hidden="false" customHeight="false" outlineLevel="0" collapsed="false">
      <c r="I866" s="3"/>
    </row>
    <row r="867" customFormat="false" ht="15" hidden="false" customHeight="false" outlineLevel="0" collapsed="false">
      <c r="I867" s="3"/>
    </row>
    <row r="868" customFormat="false" ht="15" hidden="false" customHeight="false" outlineLevel="0" collapsed="false">
      <c r="I868" s="3"/>
    </row>
    <row r="869" customFormat="false" ht="15" hidden="false" customHeight="false" outlineLevel="0" collapsed="false">
      <c r="I869" s="3"/>
    </row>
    <row r="870" customFormat="false" ht="15" hidden="false" customHeight="false" outlineLevel="0" collapsed="false">
      <c r="I870" s="3"/>
    </row>
    <row r="871" customFormat="false" ht="15" hidden="false" customHeight="false" outlineLevel="0" collapsed="false">
      <c r="I871" s="3"/>
    </row>
    <row r="872" customFormat="false" ht="15" hidden="false" customHeight="false" outlineLevel="0" collapsed="false">
      <c r="I872" s="3"/>
    </row>
    <row r="873" customFormat="false" ht="15" hidden="false" customHeight="false" outlineLevel="0" collapsed="false">
      <c r="I873" s="3"/>
    </row>
    <row r="874" customFormat="false" ht="15" hidden="false" customHeight="false" outlineLevel="0" collapsed="false">
      <c r="I874" s="3"/>
    </row>
    <row r="875" customFormat="false" ht="15" hidden="false" customHeight="false" outlineLevel="0" collapsed="false">
      <c r="I875" s="3"/>
    </row>
    <row r="876" customFormat="false" ht="15" hidden="false" customHeight="false" outlineLevel="0" collapsed="false">
      <c r="I876" s="3"/>
    </row>
    <row r="877" customFormat="false" ht="15" hidden="false" customHeight="false" outlineLevel="0" collapsed="false">
      <c r="I877" s="3"/>
    </row>
    <row r="878" customFormat="false" ht="15" hidden="false" customHeight="false" outlineLevel="0" collapsed="false">
      <c r="I878" s="3"/>
    </row>
    <row r="879" customFormat="false" ht="15" hidden="false" customHeight="false" outlineLevel="0" collapsed="false">
      <c r="I879" s="3"/>
    </row>
    <row r="880" customFormat="false" ht="15" hidden="false" customHeight="false" outlineLevel="0" collapsed="false">
      <c r="I880" s="3"/>
    </row>
    <row r="881" customFormat="false" ht="15" hidden="false" customHeight="false" outlineLevel="0" collapsed="false">
      <c r="I881" s="3"/>
    </row>
    <row r="882" customFormat="false" ht="15" hidden="false" customHeight="false" outlineLevel="0" collapsed="false">
      <c r="I882" s="3"/>
    </row>
    <row r="883" customFormat="false" ht="15" hidden="false" customHeight="false" outlineLevel="0" collapsed="false">
      <c r="I883" s="3"/>
    </row>
    <row r="884" customFormat="false" ht="15" hidden="false" customHeight="false" outlineLevel="0" collapsed="false">
      <c r="I884" s="3"/>
    </row>
    <row r="885" customFormat="false" ht="15" hidden="false" customHeight="false" outlineLevel="0" collapsed="false">
      <c r="I885" s="3"/>
    </row>
    <row r="886" customFormat="false" ht="15" hidden="false" customHeight="false" outlineLevel="0" collapsed="false">
      <c r="I886" s="3"/>
    </row>
    <row r="887" customFormat="false" ht="15" hidden="false" customHeight="false" outlineLevel="0" collapsed="false">
      <c r="I887" s="3"/>
    </row>
    <row r="888" customFormat="false" ht="15" hidden="false" customHeight="false" outlineLevel="0" collapsed="false">
      <c r="I888" s="3"/>
    </row>
    <row r="889" customFormat="false" ht="15" hidden="false" customHeight="false" outlineLevel="0" collapsed="false">
      <c r="I889" s="3"/>
    </row>
    <row r="890" customFormat="false" ht="15" hidden="false" customHeight="false" outlineLevel="0" collapsed="false">
      <c r="I890" s="3"/>
    </row>
    <row r="891" customFormat="false" ht="15" hidden="false" customHeight="false" outlineLevel="0" collapsed="false">
      <c r="I891" s="3"/>
    </row>
    <row r="892" customFormat="false" ht="15" hidden="false" customHeight="false" outlineLevel="0" collapsed="false">
      <c r="I892" s="3"/>
    </row>
    <row r="893" customFormat="false" ht="15" hidden="false" customHeight="false" outlineLevel="0" collapsed="false">
      <c r="I893" s="3"/>
    </row>
    <row r="894" customFormat="false" ht="15" hidden="false" customHeight="false" outlineLevel="0" collapsed="false">
      <c r="I894" s="3"/>
    </row>
    <row r="895" customFormat="false" ht="15" hidden="false" customHeight="false" outlineLevel="0" collapsed="false">
      <c r="I895" s="3"/>
    </row>
    <row r="896" customFormat="false" ht="15" hidden="false" customHeight="false" outlineLevel="0" collapsed="false">
      <c r="I896" s="3"/>
    </row>
    <row r="897" customFormat="false" ht="15" hidden="false" customHeight="false" outlineLevel="0" collapsed="false">
      <c r="I897" s="3"/>
    </row>
    <row r="898" customFormat="false" ht="15" hidden="false" customHeight="false" outlineLevel="0" collapsed="false">
      <c r="I898" s="3"/>
    </row>
    <row r="899" customFormat="false" ht="15" hidden="false" customHeight="false" outlineLevel="0" collapsed="false">
      <c r="I899" s="3"/>
    </row>
    <row r="900" customFormat="false" ht="15" hidden="false" customHeight="false" outlineLevel="0" collapsed="false">
      <c r="I900" s="3"/>
    </row>
    <row r="901" customFormat="false" ht="15" hidden="false" customHeight="false" outlineLevel="0" collapsed="false">
      <c r="I901" s="3"/>
    </row>
    <row r="902" customFormat="false" ht="15" hidden="false" customHeight="false" outlineLevel="0" collapsed="false">
      <c r="I902" s="3"/>
    </row>
    <row r="903" customFormat="false" ht="15" hidden="false" customHeight="false" outlineLevel="0" collapsed="false">
      <c r="I903" s="3"/>
    </row>
    <row r="904" customFormat="false" ht="15" hidden="false" customHeight="false" outlineLevel="0" collapsed="false">
      <c r="I904" s="3"/>
    </row>
    <row r="905" customFormat="false" ht="15" hidden="false" customHeight="false" outlineLevel="0" collapsed="false">
      <c r="I905" s="3"/>
    </row>
    <row r="906" customFormat="false" ht="15" hidden="false" customHeight="false" outlineLevel="0" collapsed="false">
      <c r="I906" s="3"/>
    </row>
    <row r="907" customFormat="false" ht="15" hidden="false" customHeight="false" outlineLevel="0" collapsed="false">
      <c r="I907" s="3"/>
    </row>
    <row r="908" customFormat="false" ht="15" hidden="false" customHeight="false" outlineLevel="0" collapsed="false">
      <c r="I908" s="3"/>
    </row>
    <row r="909" customFormat="false" ht="15" hidden="false" customHeight="false" outlineLevel="0" collapsed="false">
      <c r="I909" s="3"/>
    </row>
    <row r="910" customFormat="false" ht="15" hidden="false" customHeight="false" outlineLevel="0" collapsed="false">
      <c r="I910" s="3"/>
    </row>
    <row r="911" customFormat="false" ht="15" hidden="false" customHeight="false" outlineLevel="0" collapsed="false">
      <c r="I911" s="3"/>
    </row>
    <row r="912" customFormat="false" ht="15" hidden="false" customHeight="false" outlineLevel="0" collapsed="false">
      <c r="I912" s="3"/>
    </row>
    <row r="913" customFormat="false" ht="15" hidden="false" customHeight="false" outlineLevel="0" collapsed="false">
      <c r="I913" s="3"/>
    </row>
    <row r="914" customFormat="false" ht="15" hidden="false" customHeight="false" outlineLevel="0" collapsed="false">
      <c r="I914" s="3"/>
    </row>
    <row r="915" customFormat="false" ht="15" hidden="false" customHeight="false" outlineLevel="0" collapsed="false">
      <c r="I915" s="3"/>
    </row>
    <row r="916" customFormat="false" ht="15" hidden="false" customHeight="false" outlineLevel="0" collapsed="false">
      <c r="I916" s="3"/>
    </row>
    <row r="917" customFormat="false" ht="15" hidden="false" customHeight="false" outlineLevel="0" collapsed="false">
      <c r="I917" s="3"/>
    </row>
    <row r="918" customFormat="false" ht="15" hidden="false" customHeight="false" outlineLevel="0" collapsed="false">
      <c r="I918" s="3"/>
    </row>
    <row r="919" customFormat="false" ht="15" hidden="false" customHeight="false" outlineLevel="0" collapsed="false">
      <c r="I919" s="3"/>
    </row>
    <row r="920" customFormat="false" ht="15" hidden="false" customHeight="false" outlineLevel="0" collapsed="false">
      <c r="I920" s="3"/>
    </row>
    <row r="921" customFormat="false" ht="15" hidden="false" customHeight="false" outlineLevel="0" collapsed="false">
      <c r="I921" s="3"/>
    </row>
    <row r="922" customFormat="false" ht="15" hidden="false" customHeight="false" outlineLevel="0" collapsed="false">
      <c r="I922" s="3"/>
    </row>
    <row r="923" customFormat="false" ht="15" hidden="false" customHeight="false" outlineLevel="0" collapsed="false">
      <c r="I923" s="3"/>
    </row>
    <row r="924" customFormat="false" ht="15" hidden="false" customHeight="false" outlineLevel="0" collapsed="false">
      <c r="I924" s="3"/>
    </row>
    <row r="925" customFormat="false" ht="15" hidden="false" customHeight="false" outlineLevel="0" collapsed="false">
      <c r="I925" s="3"/>
    </row>
    <row r="926" customFormat="false" ht="15" hidden="false" customHeight="false" outlineLevel="0" collapsed="false">
      <c r="I926" s="3"/>
    </row>
    <row r="927" customFormat="false" ht="15" hidden="false" customHeight="false" outlineLevel="0" collapsed="false">
      <c r="I927" s="3"/>
    </row>
    <row r="928" customFormat="false" ht="15" hidden="false" customHeight="false" outlineLevel="0" collapsed="false">
      <c r="I928" s="3"/>
    </row>
    <row r="929" customFormat="false" ht="15" hidden="false" customHeight="false" outlineLevel="0" collapsed="false">
      <c r="I929" s="3"/>
    </row>
    <row r="930" customFormat="false" ht="15" hidden="false" customHeight="false" outlineLevel="0" collapsed="false">
      <c r="I930" s="3"/>
    </row>
    <row r="931" customFormat="false" ht="15" hidden="false" customHeight="false" outlineLevel="0" collapsed="false">
      <c r="I931" s="3"/>
    </row>
    <row r="932" customFormat="false" ht="15" hidden="false" customHeight="false" outlineLevel="0" collapsed="false">
      <c r="I932" s="3"/>
    </row>
    <row r="933" customFormat="false" ht="15" hidden="false" customHeight="false" outlineLevel="0" collapsed="false">
      <c r="I933" s="3"/>
    </row>
    <row r="934" customFormat="false" ht="15" hidden="false" customHeight="false" outlineLevel="0" collapsed="false">
      <c r="I934" s="3"/>
    </row>
    <row r="935" customFormat="false" ht="15" hidden="false" customHeight="false" outlineLevel="0" collapsed="false">
      <c r="I935" s="3"/>
    </row>
    <row r="936" customFormat="false" ht="15" hidden="false" customHeight="false" outlineLevel="0" collapsed="false">
      <c r="I936" s="3"/>
    </row>
    <row r="937" customFormat="false" ht="15" hidden="false" customHeight="false" outlineLevel="0" collapsed="false">
      <c r="I937" s="3"/>
    </row>
    <row r="938" customFormat="false" ht="15" hidden="false" customHeight="false" outlineLevel="0" collapsed="false">
      <c r="I938" s="3"/>
    </row>
    <row r="939" customFormat="false" ht="15" hidden="false" customHeight="false" outlineLevel="0" collapsed="false">
      <c r="I939" s="3"/>
    </row>
    <row r="940" customFormat="false" ht="15" hidden="false" customHeight="false" outlineLevel="0" collapsed="false">
      <c r="I940" s="3"/>
    </row>
    <row r="941" customFormat="false" ht="15" hidden="false" customHeight="false" outlineLevel="0" collapsed="false">
      <c r="I941" s="3"/>
    </row>
    <row r="942" customFormat="false" ht="15" hidden="false" customHeight="false" outlineLevel="0" collapsed="false">
      <c r="I942" s="3"/>
    </row>
    <row r="943" customFormat="false" ht="15" hidden="false" customHeight="false" outlineLevel="0" collapsed="false">
      <c r="I943" s="3"/>
    </row>
    <row r="944" customFormat="false" ht="15" hidden="false" customHeight="false" outlineLevel="0" collapsed="false">
      <c r="I944" s="3"/>
    </row>
    <row r="945" customFormat="false" ht="15" hidden="false" customHeight="false" outlineLevel="0" collapsed="false">
      <c r="I945" s="3"/>
    </row>
    <row r="946" customFormat="false" ht="15" hidden="false" customHeight="false" outlineLevel="0" collapsed="false">
      <c r="I946" s="3"/>
    </row>
    <row r="947" customFormat="false" ht="15" hidden="false" customHeight="false" outlineLevel="0" collapsed="false">
      <c r="I947" s="3"/>
    </row>
    <row r="948" customFormat="false" ht="15" hidden="false" customHeight="false" outlineLevel="0" collapsed="false">
      <c r="I948" s="3"/>
    </row>
    <row r="949" customFormat="false" ht="15" hidden="false" customHeight="false" outlineLevel="0" collapsed="false">
      <c r="I949" s="3"/>
    </row>
    <row r="950" customFormat="false" ht="15" hidden="false" customHeight="false" outlineLevel="0" collapsed="false">
      <c r="I950" s="3"/>
    </row>
    <row r="951" customFormat="false" ht="15" hidden="false" customHeight="false" outlineLevel="0" collapsed="false">
      <c r="I951" s="3"/>
    </row>
    <row r="952" customFormat="false" ht="15" hidden="false" customHeight="false" outlineLevel="0" collapsed="false">
      <c r="I952" s="3"/>
    </row>
    <row r="953" customFormat="false" ht="15" hidden="false" customHeight="false" outlineLevel="0" collapsed="false">
      <c r="I953" s="3"/>
    </row>
    <row r="954" customFormat="false" ht="15" hidden="false" customHeight="false" outlineLevel="0" collapsed="false">
      <c r="I954" s="3"/>
    </row>
    <row r="955" customFormat="false" ht="15" hidden="false" customHeight="false" outlineLevel="0" collapsed="false">
      <c r="I955" s="3"/>
    </row>
    <row r="956" customFormat="false" ht="15" hidden="false" customHeight="false" outlineLevel="0" collapsed="false">
      <c r="I956" s="3"/>
    </row>
    <row r="957" customFormat="false" ht="15" hidden="false" customHeight="false" outlineLevel="0" collapsed="false">
      <c r="I957" s="3"/>
    </row>
    <row r="958" customFormat="false" ht="15" hidden="false" customHeight="false" outlineLevel="0" collapsed="false">
      <c r="I958" s="3"/>
    </row>
    <row r="959" customFormat="false" ht="15" hidden="false" customHeight="false" outlineLevel="0" collapsed="false">
      <c r="I959" s="3"/>
    </row>
    <row r="960" customFormat="false" ht="15" hidden="false" customHeight="false" outlineLevel="0" collapsed="false">
      <c r="I960" s="3"/>
    </row>
    <row r="961" customFormat="false" ht="15" hidden="false" customHeight="false" outlineLevel="0" collapsed="false">
      <c r="I961" s="3"/>
    </row>
    <row r="962" customFormat="false" ht="15" hidden="false" customHeight="false" outlineLevel="0" collapsed="false">
      <c r="I962" s="3"/>
    </row>
    <row r="963" customFormat="false" ht="15" hidden="false" customHeight="false" outlineLevel="0" collapsed="false">
      <c r="I963" s="3"/>
    </row>
    <row r="964" customFormat="false" ht="15" hidden="false" customHeight="false" outlineLevel="0" collapsed="false">
      <c r="I964" s="3"/>
    </row>
    <row r="965" customFormat="false" ht="15" hidden="false" customHeight="false" outlineLevel="0" collapsed="false">
      <c r="I965" s="3"/>
    </row>
    <row r="966" customFormat="false" ht="15" hidden="false" customHeight="false" outlineLevel="0" collapsed="false">
      <c r="I966" s="3"/>
    </row>
    <row r="967" customFormat="false" ht="15" hidden="false" customHeight="false" outlineLevel="0" collapsed="false">
      <c r="I967" s="3"/>
    </row>
    <row r="968" customFormat="false" ht="15" hidden="false" customHeight="false" outlineLevel="0" collapsed="false">
      <c r="I968" s="3"/>
    </row>
    <row r="969" customFormat="false" ht="15" hidden="false" customHeight="false" outlineLevel="0" collapsed="false">
      <c r="I969" s="3"/>
    </row>
    <row r="970" customFormat="false" ht="15" hidden="false" customHeight="false" outlineLevel="0" collapsed="false">
      <c r="I970" s="3"/>
    </row>
    <row r="971" customFormat="false" ht="15" hidden="false" customHeight="false" outlineLevel="0" collapsed="false">
      <c r="I971" s="3"/>
    </row>
    <row r="972" customFormat="false" ht="15" hidden="false" customHeight="false" outlineLevel="0" collapsed="false">
      <c r="I972" s="3"/>
    </row>
    <row r="973" customFormat="false" ht="15" hidden="false" customHeight="false" outlineLevel="0" collapsed="false">
      <c r="I973" s="3"/>
    </row>
    <row r="974" customFormat="false" ht="15" hidden="false" customHeight="false" outlineLevel="0" collapsed="false">
      <c r="I974" s="3"/>
    </row>
    <row r="975" customFormat="false" ht="15" hidden="false" customHeight="false" outlineLevel="0" collapsed="false">
      <c r="I975" s="3"/>
    </row>
    <row r="976" customFormat="false" ht="15" hidden="false" customHeight="false" outlineLevel="0" collapsed="false">
      <c r="I976" s="3"/>
    </row>
    <row r="977" customFormat="false" ht="15" hidden="false" customHeight="false" outlineLevel="0" collapsed="false">
      <c r="I977" s="3"/>
    </row>
    <row r="978" customFormat="false" ht="15" hidden="false" customHeight="false" outlineLevel="0" collapsed="false">
      <c r="I978" s="3"/>
    </row>
    <row r="979" customFormat="false" ht="15" hidden="false" customHeight="false" outlineLevel="0" collapsed="false">
      <c r="I979" s="3"/>
    </row>
    <row r="980" customFormat="false" ht="15" hidden="false" customHeight="false" outlineLevel="0" collapsed="false">
      <c r="I980" s="3"/>
    </row>
    <row r="981" customFormat="false" ht="15" hidden="false" customHeight="false" outlineLevel="0" collapsed="false">
      <c r="I981" s="3"/>
    </row>
    <row r="982" customFormat="false" ht="15" hidden="false" customHeight="false" outlineLevel="0" collapsed="false">
      <c r="I982" s="3"/>
    </row>
    <row r="983" customFormat="false" ht="15" hidden="false" customHeight="false" outlineLevel="0" collapsed="false">
      <c r="I983" s="3"/>
    </row>
    <row r="984" customFormat="false" ht="15" hidden="false" customHeight="false" outlineLevel="0" collapsed="false">
      <c r="I984" s="3"/>
    </row>
    <row r="985" customFormat="false" ht="15" hidden="false" customHeight="false" outlineLevel="0" collapsed="false">
      <c r="I985" s="3"/>
    </row>
    <row r="986" customFormat="false" ht="15" hidden="false" customHeight="false" outlineLevel="0" collapsed="false">
      <c r="I986" s="3"/>
    </row>
    <row r="987" customFormat="false" ht="15" hidden="false" customHeight="false" outlineLevel="0" collapsed="false">
      <c r="I987" s="3"/>
    </row>
    <row r="988" customFormat="false" ht="15" hidden="false" customHeight="false" outlineLevel="0" collapsed="false">
      <c r="I988" s="3"/>
    </row>
    <row r="989" customFormat="false" ht="15" hidden="false" customHeight="false" outlineLevel="0" collapsed="false">
      <c r="I989" s="3"/>
    </row>
    <row r="990" customFormat="false" ht="15" hidden="false" customHeight="false" outlineLevel="0" collapsed="false">
      <c r="I990" s="3"/>
    </row>
    <row r="991" customFormat="false" ht="15" hidden="false" customHeight="false" outlineLevel="0" collapsed="false">
      <c r="I991" s="3"/>
    </row>
    <row r="992" customFormat="false" ht="15" hidden="false" customHeight="false" outlineLevel="0" collapsed="false">
      <c r="I992" s="3"/>
    </row>
    <row r="993" customFormat="false" ht="15" hidden="false" customHeight="false" outlineLevel="0" collapsed="false">
      <c r="I993" s="3"/>
    </row>
    <row r="994" customFormat="false" ht="15" hidden="false" customHeight="false" outlineLevel="0" collapsed="false">
      <c r="I994" s="3"/>
    </row>
    <row r="995" customFormat="false" ht="15" hidden="false" customHeight="false" outlineLevel="0" collapsed="false">
      <c r="I995" s="3"/>
    </row>
    <row r="996" customFormat="false" ht="15" hidden="false" customHeight="false" outlineLevel="0" collapsed="false">
      <c r="I996" s="3"/>
    </row>
    <row r="997" customFormat="false" ht="15" hidden="false" customHeight="false" outlineLevel="0" collapsed="false">
      <c r="I997" s="3"/>
    </row>
    <row r="998" customFormat="false" ht="15" hidden="false" customHeight="false" outlineLevel="0" collapsed="false">
      <c r="I998" s="3"/>
    </row>
    <row r="999" customFormat="false" ht="15" hidden="false" customHeight="false" outlineLevel="0" collapsed="false">
      <c r="I999" s="3"/>
    </row>
    <row r="1000" customFormat="false" ht="15" hidden="false" customHeight="false" outlineLevel="0" collapsed="false">
      <c r="I1000" s="3"/>
    </row>
    <row r="1001" customFormat="false" ht="15" hidden="false" customHeight="false" outlineLevel="0" collapsed="false">
      <c r="I1001" s="3"/>
    </row>
    <row r="1002" customFormat="false" ht="15" hidden="false" customHeight="false" outlineLevel="0" collapsed="false">
      <c r="I1002" s="3"/>
    </row>
    <row r="1003" customFormat="false" ht="15" hidden="false" customHeight="false" outlineLevel="0" collapsed="false">
      <c r="I1003" s="3"/>
    </row>
    <row r="1004" customFormat="false" ht="15" hidden="false" customHeight="false" outlineLevel="0" collapsed="false">
      <c r="I1004" s="3"/>
    </row>
    <row r="1005" customFormat="false" ht="15" hidden="false" customHeight="false" outlineLevel="0" collapsed="false">
      <c r="I1005" s="3"/>
    </row>
    <row r="1006" customFormat="false" ht="15" hidden="false" customHeight="false" outlineLevel="0" collapsed="false">
      <c r="I1006" s="3"/>
    </row>
    <row r="1007" customFormat="false" ht="15" hidden="false" customHeight="false" outlineLevel="0" collapsed="false">
      <c r="I1007" s="3"/>
    </row>
    <row r="1008" customFormat="false" ht="15" hidden="false" customHeight="false" outlineLevel="0" collapsed="false">
      <c r="I1008" s="3"/>
    </row>
    <row r="1009" customFormat="false" ht="15" hidden="false" customHeight="false" outlineLevel="0" collapsed="false">
      <c r="I1009" s="3"/>
    </row>
    <row r="1010" customFormat="false" ht="15" hidden="false" customHeight="false" outlineLevel="0" collapsed="false">
      <c r="I1010" s="3"/>
    </row>
    <row r="1011" customFormat="false" ht="15" hidden="false" customHeight="false" outlineLevel="0" collapsed="false">
      <c r="I1011" s="3"/>
    </row>
    <row r="1012" customFormat="false" ht="15" hidden="false" customHeight="false" outlineLevel="0" collapsed="false">
      <c r="I1012" s="3"/>
    </row>
    <row r="1013" customFormat="false" ht="15" hidden="false" customHeight="false" outlineLevel="0" collapsed="false">
      <c r="I1013" s="3"/>
    </row>
    <row r="1014" customFormat="false" ht="15" hidden="false" customHeight="false" outlineLevel="0" collapsed="false">
      <c r="I1014" s="3"/>
    </row>
    <row r="1015" customFormat="false" ht="15" hidden="false" customHeight="false" outlineLevel="0" collapsed="false">
      <c r="I1015" s="3"/>
    </row>
    <row r="1016" customFormat="false" ht="15" hidden="false" customHeight="false" outlineLevel="0" collapsed="false">
      <c r="I1016" s="3"/>
    </row>
    <row r="1017" customFormat="false" ht="15" hidden="false" customHeight="false" outlineLevel="0" collapsed="false">
      <c r="I1017" s="3"/>
    </row>
    <row r="1018" customFormat="false" ht="15" hidden="false" customHeight="false" outlineLevel="0" collapsed="false">
      <c r="I1018" s="3"/>
    </row>
    <row r="1019" customFormat="false" ht="15" hidden="false" customHeight="false" outlineLevel="0" collapsed="false">
      <c r="I1019" s="3"/>
    </row>
    <row r="1020" customFormat="false" ht="15" hidden="false" customHeight="false" outlineLevel="0" collapsed="false">
      <c r="I1020" s="3"/>
    </row>
    <row r="1021" customFormat="false" ht="15" hidden="false" customHeight="false" outlineLevel="0" collapsed="false">
      <c r="I1021" s="3"/>
    </row>
    <row r="1022" customFormat="false" ht="15" hidden="false" customHeight="false" outlineLevel="0" collapsed="false">
      <c r="I1022" s="3"/>
    </row>
    <row r="1023" customFormat="false" ht="15" hidden="false" customHeight="false" outlineLevel="0" collapsed="false">
      <c r="I1023" s="3"/>
    </row>
    <row r="1024" customFormat="false" ht="15" hidden="false" customHeight="false" outlineLevel="0" collapsed="false">
      <c r="I1024" s="3"/>
    </row>
    <row r="1025" customFormat="false" ht="15" hidden="false" customHeight="false" outlineLevel="0" collapsed="false">
      <c r="I1025" s="3"/>
    </row>
    <row r="1026" customFormat="false" ht="15" hidden="false" customHeight="false" outlineLevel="0" collapsed="false">
      <c r="I1026" s="3"/>
    </row>
    <row r="1027" customFormat="false" ht="15" hidden="false" customHeight="false" outlineLevel="0" collapsed="false">
      <c r="I1027" s="3"/>
    </row>
    <row r="1028" customFormat="false" ht="15" hidden="false" customHeight="false" outlineLevel="0" collapsed="false">
      <c r="I1028" s="3"/>
    </row>
    <row r="1029" customFormat="false" ht="15" hidden="false" customHeight="false" outlineLevel="0" collapsed="false">
      <c r="I1029" s="3"/>
    </row>
    <row r="1030" customFormat="false" ht="15" hidden="false" customHeight="false" outlineLevel="0" collapsed="false">
      <c r="I1030" s="3"/>
    </row>
    <row r="1031" customFormat="false" ht="15" hidden="false" customHeight="false" outlineLevel="0" collapsed="false">
      <c r="I1031" s="3"/>
    </row>
    <row r="1032" customFormat="false" ht="15" hidden="false" customHeight="false" outlineLevel="0" collapsed="false">
      <c r="I1032" s="3"/>
    </row>
    <row r="1033" customFormat="false" ht="15" hidden="false" customHeight="false" outlineLevel="0" collapsed="false">
      <c r="I1033" s="3"/>
    </row>
    <row r="1034" customFormat="false" ht="15" hidden="false" customHeight="false" outlineLevel="0" collapsed="false">
      <c r="I1034" s="3"/>
    </row>
    <row r="1035" customFormat="false" ht="15" hidden="false" customHeight="false" outlineLevel="0" collapsed="false">
      <c r="I1035" s="3"/>
    </row>
    <row r="1036" customFormat="false" ht="15" hidden="false" customHeight="false" outlineLevel="0" collapsed="false">
      <c r="I1036" s="3"/>
    </row>
    <row r="1037" customFormat="false" ht="15" hidden="false" customHeight="false" outlineLevel="0" collapsed="false">
      <c r="I1037" s="3"/>
    </row>
    <row r="1038" customFormat="false" ht="15" hidden="false" customHeight="false" outlineLevel="0" collapsed="false">
      <c r="I1038" s="3"/>
    </row>
    <row r="1039" customFormat="false" ht="15" hidden="false" customHeight="false" outlineLevel="0" collapsed="false">
      <c r="I1039" s="3"/>
    </row>
    <row r="1040" customFormat="false" ht="15" hidden="false" customHeight="false" outlineLevel="0" collapsed="false">
      <c r="I1040" s="3"/>
    </row>
    <row r="1041" customFormat="false" ht="15" hidden="false" customHeight="false" outlineLevel="0" collapsed="false">
      <c r="I1041" s="3"/>
    </row>
    <row r="1042" customFormat="false" ht="15" hidden="false" customHeight="false" outlineLevel="0" collapsed="false">
      <c r="I1042" s="3"/>
    </row>
    <row r="1043" customFormat="false" ht="15" hidden="false" customHeight="false" outlineLevel="0" collapsed="false">
      <c r="I1043" s="3"/>
    </row>
    <row r="1044" customFormat="false" ht="15" hidden="false" customHeight="false" outlineLevel="0" collapsed="false">
      <c r="I1044" s="3"/>
    </row>
    <row r="1045" customFormat="false" ht="15" hidden="false" customHeight="false" outlineLevel="0" collapsed="false">
      <c r="I1045" s="3"/>
    </row>
    <row r="1046" customFormat="false" ht="15" hidden="false" customHeight="false" outlineLevel="0" collapsed="false">
      <c r="I1046" s="3"/>
    </row>
    <row r="1047" customFormat="false" ht="15" hidden="false" customHeight="false" outlineLevel="0" collapsed="false">
      <c r="I1047" s="3"/>
    </row>
    <row r="1048" customFormat="false" ht="15" hidden="false" customHeight="false" outlineLevel="0" collapsed="false">
      <c r="I1048" s="3"/>
    </row>
    <row r="1049" customFormat="false" ht="15" hidden="false" customHeight="false" outlineLevel="0" collapsed="false">
      <c r="I1049" s="3"/>
    </row>
    <row r="1050" customFormat="false" ht="15" hidden="false" customHeight="false" outlineLevel="0" collapsed="false">
      <c r="I1050" s="3"/>
    </row>
    <row r="1051" customFormat="false" ht="15" hidden="false" customHeight="false" outlineLevel="0" collapsed="false">
      <c r="I1051" s="3"/>
    </row>
    <row r="1052" customFormat="false" ht="15" hidden="false" customHeight="false" outlineLevel="0" collapsed="false">
      <c r="I1052" s="3"/>
    </row>
    <row r="1053" customFormat="false" ht="15" hidden="false" customHeight="false" outlineLevel="0" collapsed="false">
      <c r="I1053" s="3"/>
    </row>
    <row r="1054" customFormat="false" ht="15" hidden="false" customHeight="false" outlineLevel="0" collapsed="false">
      <c r="I1054" s="3"/>
    </row>
    <row r="1055" customFormat="false" ht="15" hidden="false" customHeight="false" outlineLevel="0" collapsed="false">
      <c r="I1055" s="3"/>
    </row>
    <row r="1056" customFormat="false" ht="15" hidden="false" customHeight="false" outlineLevel="0" collapsed="false">
      <c r="I1056" s="3"/>
    </row>
    <row r="1057" customFormat="false" ht="15" hidden="false" customHeight="false" outlineLevel="0" collapsed="false">
      <c r="I1057" s="3"/>
    </row>
    <row r="1058" customFormat="false" ht="15" hidden="false" customHeight="false" outlineLevel="0" collapsed="false">
      <c r="I1058" s="3"/>
    </row>
    <row r="1059" customFormat="false" ht="15" hidden="false" customHeight="false" outlineLevel="0" collapsed="false">
      <c r="I1059" s="3"/>
    </row>
    <row r="1060" customFormat="false" ht="15" hidden="false" customHeight="false" outlineLevel="0" collapsed="false">
      <c r="I1060" s="3"/>
    </row>
    <row r="1061" customFormat="false" ht="15" hidden="false" customHeight="false" outlineLevel="0" collapsed="false">
      <c r="I1061" s="3"/>
    </row>
    <row r="1062" customFormat="false" ht="15" hidden="false" customHeight="false" outlineLevel="0" collapsed="false">
      <c r="I1062" s="3"/>
    </row>
    <row r="1063" customFormat="false" ht="15" hidden="false" customHeight="false" outlineLevel="0" collapsed="false">
      <c r="I1063" s="3"/>
    </row>
    <row r="1064" customFormat="false" ht="15" hidden="false" customHeight="false" outlineLevel="0" collapsed="false">
      <c r="I1064" s="3"/>
    </row>
    <row r="1065" customFormat="false" ht="15" hidden="false" customHeight="false" outlineLevel="0" collapsed="false">
      <c r="I1065" s="3"/>
    </row>
    <row r="1066" customFormat="false" ht="15" hidden="false" customHeight="false" outlineLevel="0" collapsed="false">
      <c r="I1066" s="3"/>
    </row>
    <row r="1067" customFormat="false" ht="15" hidden="false" customHeight="false" outlineLevel="0" collapsed="false">
      <c r="I1067" s="3"/>
    </row>
    <row r="1068" customFormat="false" ht="15" hidden="false" customHeight="false" outlineLevel="0" collapsed="false">
      <c r="I1068" s="3"/>
    </row>
    <row r="1069" customFormat="false" ht="15" hidden="false" customHeight="false" outlineLevel="0" collapsed="false">
      <c r="I1069" s="3"/>
    </row>
    <row r="1070" customFormat="false" ht="15" hidden="false" customHeight="false" outlineLevel="0" collapsed="false">
      <c r="I1070" s="3"/>
    </row>
    <row r="1071" customFormat="false" ht="15" hidden="false" customHeight="false" outlineLevel="0" collapsed="false">
      <c r="I1071" s="3"/>
    </row>
    <row r="1072" customFormat="false" ht="15" hidden="false" customHeight="false" outlineLevel="0" collapsed="false">
      <c r="I1072" s="3"/>
    </row>
    <row r="1073" customFormat="false" ht="15" hidden="false" customHeight="false" outlineLevel="0" collapsed="false">
      <c r="I1073" s="3"/>
    </row>
    <row r="1074" customFormat="false" ht="15" hidden="false" customHeight="false" outlineLevel="0" collapsed="false">
      <c r="I1074" s="3"/>
    </row>
    <row r="1075" customFormat="false" ht="15" hidden="false" customHeight="false" outlineLevel="0" collapsed="false">
      <c r="I1075" s="3"/>
    </row>
    <row r="1076" customFormat="false" ht="15" hidden="false" customHeight="false" outlineLevel="0" collapsed="false">
      <c r="I1076" s="3"/>
    </row>
    <row r="1077" customFormat="false" ht="15" hidden="false" customHeight="false" outlineLevel="0" collapsed="false">
      <c r="I1077" s="3"/>
    </row>
    <row r="1078" customFormat="false" ht="15" hidden="false" customHeight="false" outlineLevel="0" collapsed="false">
      <c r="I1078" s="3"/>
    </row>
    <row r="1079" customFormat="false" ht="15" hidden="false" customHeight="false" outlineLevel="0" collapsed="false">
      <c r="I1079" s="3"/>
    </row>
    <row r="1080" customFormat="false" ht="15" hidden="false" customHeight="false" outlineLevel="0" collapsed="false">
      <c r="I1080" s="3"/>
    </row>
    <row r="1081" customFormat="false" ht="15" hidden="false" customHeight="false" outlineLevel="0" collapsed="false">
      <c r="I1081" s="3"/>
    </row>
    <row r="1082" customFormat="false" ht="15" hidden="false" customHeight="false" outlineLevel="0" collapsed="false">
      <c r="I1082" s="3"/>
    </row>
    <row r="1083" customFormat="false" ht="15" hidden="false" customHeight="false" outlineLevel="0" collapsed="false">
      <c r="I1083" s="3"/>
    </row>
    <row r="1084" customFormat="false" ht="15" hidden="false" customHeight="false" outlineLevel="0" collapsed="false">
      <c r="I1084" s="3"/>
    </row>
    <row r="1085" customFormat="false" ht="15" hidden="false" customHeight="false" outlineLevel="0" collapsed="false">
      <c r="I1085" s="3"/>
    </row>
    <row r="1086" customFormat="false" ht="15" hidden="false" customHeight="false" outlineLevel="0" collapsed="false">
      <c r="I1086" s="3"/>
    </row>
    <row r="1087" customFormat="false" ht="15" hidden="false" customHeight="false" outlineLevel="0" collapsed="false">
      <c r="I1087" s="3"/>
    </row>
    <row r="1088" customFormat="false" ht="15" hidden="false" customHeight="false" outlineLevel="0" collapsed="false">
      <c r="I1088" s="3"/>
    </row>
    <row r="1089" customFormat="false" ht="15" hidden="false" customHeight="false" outlineLevel="0" collapsed="false">
      <c r="I1089" s="3"/>
    </row>
    <row r="1090" customFormat="false" ht="15" hidden="false" customHeight="false" outlineLevel="0" collapsed="false">
      <c r="I1090" s="3"/>
    </row>
    <row r="1091" customFormat="false" ht="15" hidden="false" customHeight="false" outlineLevel="0" collapsed="false">
      <c r="I1091" s="3"/>
    </row>
    <row r="1092" customFormat="false" ht="15" hidden="false" customHeight="false" outlineLevel="0" collapsed="false">
      <c r="I1092" s="3"/>
    </row>
    <row r="1093" customFormat="false" ht="15" hidden="false" customHeight="false" outlineLevel="0" collapsed="false">
      <c r="I1093" s="3"/>
    </row>
    <row r="1094" customFormat="false" ht="15" hidden="false" customHeight="false" outlineLevel="0" collapsed="false">
      <c r="I1094" s="3"/>
    </row>
    <row r="1095" customFormat="false" ht="15" hidden="false" customHeight="false" outlineLevel="0" collapsed="false">
      <c r="I1095" s="3"/>
    </row>
    <row r="1096" customFormat="false" ht="15" hidden="false" customHeight="false" outlineLevel="0" collapsed="false">
      <c r="I1096" s="3"/>
    </row>
    <row r="1097" customFormat="false" ht="15" hidden="false" customHeight="false" outlineLevel="0" collapsed="false">
      <c r="I1097" s="3"/>
    </row>
    <row r="1098" customFormat="false" ht="15" hidden="false" customHeight="false" outlineLevel="0" collapsed="false">
      <c r="I1098" s="3"/>
    </row>
    <row r="1099" customFormat="false" ht="15" hidden="false" customHeight="false" outlineLevel="0" collapsed="false">
      <c r="I1099" s="3"/>
    </row>
    <row r="1100" customFormat="false" ht="15" hidden="false" customHeight="false" outlineLevel="0" collapsed="false">
      <c r="I1100" s="3"/>
    </row>
    <row r="1101" customFormat="false" ht="15" hidden="false" customHeight="false" outlineLevel="0" collapsed="false">
      <c r="I1101" s="3"/>
    </row>
    <row r="1102" customFormat="false" ht="15" hidden="false" customHeight="false" outlineLevel="0" collapsed="false">
      <c r="I1102" s="3"/>
    </row>
    <row r="1103" customFormat="false" ht="15" hidden="false" customHeight="false" outlineLevel="0" collapsed="false">
      <c r="I1103" s="3"/>
    </row>
    <row r="1104" customFormat="false" ht="15" hidden="false" customHeight="false" outlineLevel="0" collapsed="false">
      <c r="I1104" s="3"/>
    </row>
    <row r="1105" customFormat="false" ht="15" hidden="false" customHeight="false" outlineLevel="0" collapsed="false">
      <c r="I1105" s="3"/>
    </row>
    <row r="1106" customFormat="false" ht="15" hidden="false" customHeight="false" outlineLevel="0" collapsed="false">
      <c r="I1106" s="3"/>
    </row>
    <row r="1107" customFormat="false" ht="15" hidden="false" customHeight="false" outlineLevel="0" collapsed="false">
      <c r="I1107" s="3"/>
    </row>
    <row r="1108" customFormat="false" ht="15" hidden="false" customHeight="false" outlineLevel="0" collapsed="false">
      <c r="I1108" s="3"/>
    </row>
    <row r="1109" customFormat="false" ht="15" hidden="false" customHeight="false" outlineLevel="0" collapsed="false">
      <c r="I1109" s="3"/>
    </row>
    <row r="1110" customFormat="false" ht="15" hidden="false" customHeight="false" outlineLevel="0" collapsed="false">
      <c r="I1110" s="3"/>
    </row>
    <row r="1111" customFormat="false" ht="15" hidden="false" customHeight="false" outlineLevel="0" collapsed="false">
      <c r="I1111" s="3"/>
    </row>
    <row r="1112" customFormat="false" ht="15" hidden="false" customHeight="false" outlineLevel="0" collapsed="false">
      <c r="I1112" s="3"/>
    </row>
    <row r="1113" customFormat="false" ht="15" hidden="false" customHeight="false" outlineLevel="0" collapsed="false">
      <c r="I1113" s="3"/>
    </row>
    <row r="1114" customFormat="false" ht="15" hidden="false" customHeight="false" outlineLevel="0" collapsed="false">
      <c r="I1114" s="3"/>
    </row>
    <row r="1115" customFormat="false" ht="15" hidden="false" customHeight="false" outlineLevel="0" collapsed="false">
      <c r="I1115" s="3"/>
    </row>
    <row r="1116" customFormat="false" ht="15" hidden="false" customHeight="false" outlineLevel="0" collapsed="false">
      <c r="I1116" s="3"/>
    </row>
    <row r="1117" customFormat="false" ht="15" hidden="false" customHeight="false" outlineLevel="0" collapsed="false">
      <c r="I1117" s="3"/>
    </row>
    <row r="1118" customFormat="false" ht="15" hidden="false" customHeight="false" outlineLevel="0" collapsed="false">
      <c r="I1118" s="3"/>
    </row>
    <row r="1119" customFormat="false" ht="15" hidden="false" customHeight="false" outlineLevel="0" collapsed="false">
      <c r="I1119" s="3"/>
    </row>
    <row r="1120" customFormat="false" ht="15" hidden="false" customHeight="false" outlineLevel="0" collapsed="false">
      <c r="I1120" s="3"/>
    </row>
    <row r="1121" customFormat="false" ht="15" hidden="false" customHeight="false" outlineLevel="0" collapsed="false">
      <c r="I1121" s="3"/>
    </row>
    <row r="1122" customFormat="false" ht="15" hidden="false" customHeight="false" outlineLevel="0" collapsed="false">
      <c r="I1122" s="3"/>
    </row>
    <row r="1123" customFormat="false" ht="15" hidden="false" customHeight="false" outlineLevel="0" collapsed="false">
      <c r="I1123" s="3"/>
    </row>
    <row r="1124" customFormat="false" ht="15" hidden="false" customHeight="false" outlineLevel="0" collapsed="false">
      <c r="I1124" s="3"/>
    </row>
    <row r="1125" customFormat="false" ht="15" hidden="false" customHeight="false" outlineLevel="0" collapsed="false">
      <c r="I1125" s="3"/>
    </row>
    <row r="1126" customFormat="false" ht="15" hidden="false" customHeight="false" outlineLevel="0" collapsed="false">
      <c r="I1126" s="3"/>
    </row>
    <row r="1127" customFormat="false" ht="15" hidden="false" customHeight="false" outlineLevel="0" collapsed="false">
      <c r="I1127" s="3"/>
    </row>
    <row r="1128" customFormat="false" ht="15" hidden="false" customHeight="false" outlineLevel="0" collapsed="false">
      <c r="I1128" s="3"/>
    </row>
    <row r="1129" customFormat="false" ht="15" hidden="false" customHeight="false" outlineLevel="0" collapsed="false">
      <c r="I1129" s="3"/>
    </row>
    <row r="1130" customFormat="false" ht="15" hidden="false" customHeight="false" outlineLevel="0" collapsed="false">
      <c r="I1130" s="3"/>
    </row>
    <row r="1131" customFormat="false" ht="15" hidden="false" customHeight="false" outlineLevel="0" collapsed="false">
      <c r="I1131" s="3"/>
    </row>
    <row r="1132" customFormat="false" ht="15" hidden="false" customHeight="false" outlineLevel="0" collapsed="false">
      <c r="I1132" s="3"/>
    </row>
    <row r="1133" customFormat="false" ht="15" hidden="false" customHeight="false" outlineLevel="0" collapsed="false">
      <c r="I1133" s="3"/>
    </row>
    <row r="1134" customFormat="false" ht="15" hidden="false" customHeight="false" outlineLevel="0" collapsed="false">
      <c r="I1134" s="3"/>
    </row>
    <row r="1135" customFormat="false" ht="15" hidden="false" customHeight="false" outlineLevel="0" collapsed="false">
      <c r="I1135" s="3"/>
    </row>
    <row r="1136" customFormat="false" ht="15" hidden="false" customHeight="false" outlineLevel="0" collapsed="false">
      <c r="I1136" s="3"/>
    </row>
    <row r="1137" customFormat="false" ht="15" hidden="false" customHeight="false" outlineLevel="0" collapsed="false">
      <c r="I1137" s="3"/>
    </row>
    <row r="1138" customFormat="false" ht="15" hidden="false" customHeight="false" outlineLevel="0" collapsed="false">
      <c r="I1138" s="3"/>
    </row>
    <row r="1139" customFormat="false" ht="15" hidden="false" customHeight="false" outlineLevel="0" collapsed="false">
      <c r="I1139" s="3"/>
    </row>
    <row r="1140" customFormat="false" ht="15" hidden="false" customHeight="false" outlineLevel="0" collapsed="false">
      <c r="I1140" s="3"/>
    </row>
    <row r="1141" customFormat="false" ht="15" hidden="false" customHeight="false" outlineLevel="0" collapsed="false">
      <c r="I1141" s="3"/>
    </row>
    <row r="1142" customFormat="false" ht="15" hidden="false" customHeight="false" outlineLevel="0" collapsed="false">
      <c r="I1142" s="3"/>
    </row>
    <row r="1143" customFormat="false" ht="15" hidden="false" customHeight="false" outlineLevel="0" collapsed="false">
      <c r="I1143" s="3"/>
    </row>
    <row r="1144" customFormat="false" ht="15" hidden="false" customHeight="false" outlineLevel="0" collapsed="false">
      <c r="I1144" s="3"/>
    </row>
    <row r="1145" customFormat="false" ht="15" hidden="false" customHeight="false" outlineLevel="0" collapsed="false">
      <c r="I1145" s="3"/>
    </row>
    <row r="1146" customFormat="false" ht="15" hidden="false" customHeight="false" outlineLevel="0" collapsed="false">
      <c r="I1146" s="3"/>
    </row>
    <row r="1147" customFormat="false" ht="15" hidden="false" customHeight="false" outlineLevel="0" collapsed="false">
      <c r="I1147" s="3"/>
    </row>
    <row r="1148" customFormat="false" ht="15" hidden="false" customHeight="false" outlineLevel="0" collapsed="false">
      <c r="I1148" s="3"/>
    </row>
    <row r="1149" customFormat="false" ht="15" hidden="false" customHeight="false" outlineLevel="0" collapsed="false">
      <c r="I1149" s="3"/>
    </row>
    <row r="1150" customFormat="false" ht="15" hidden="false" customHeight="false" outlineLevel="0" collapsed="false">
      <c r="I1150" s="3"/>
    </row>
    <row r="1151" customFormat="false" ht="15" hidden="false" customHeight="false" outlineLevel="0" collapsed="false">
      <c r="I1151" s="3"/>
    </row>
    <row r="1152" customFormat="false" ht="15" hidden="false" customHeight="false" outlineLevel="0" collapsed="false">
      <c r="I1152" s="3"/>
    </row>
    <row r="1153" customFormat="false" ht="15" hidden="false" customHeight="false" outlineLevel="0" collapsed="false">
      <c r="I1153" s="3"/>
    </row>
    <row r="1154" customFormat="false" ht="15" hidden="false" customHeight="false" outlineLevel="0" collapsed="false">
      <c r="I1154" s="3"/>
    </row>
    <row r="1155" customFormat="false" ht="15" hidden="false" customHeight="false" outlineLevel="0" collapsed="false">
      <c r="I1155" s="3"/>
    </row>
    <row r="1156" customFormat="false" ht="15" hidden="false" customHeight="false" outlineLevel="0" collapsed="false">
      <c r="I1156" s="3"/>
    </row>
    <row r="1157" customFormat="false" ht="15" hidden="false" customHeight="false" outlineLevel="0" collapsed="false">
      <c r="I1157" s="3"/>
    </row>
    <row r="1158" customFormat="false" ht="15" hidden="false" customHeight="false" outlineLevel="0" collapsed="false">
      <c r="I1158" s="3"/>
    </row>
    <row r="1159" customFormat="false" ht="15" hidden="false" customHeight="false" outlineLevel="0" collapsed="false">
      <c r="I1159" s="3"/>
    </row>
    <row r="1160" customFormat="false" ht="15" hidden="false" customHeight="false" outlineLevel="0" collapsed="false">
      <c r="I1160" s="3"/>
    </row>
    <row r="1161" customFormat="false" ht="15" hidden="false" customHeight="false" outlineLevel="0" collapsed="false">
      <c r="I1161" s="3"/>
    </row>
    <row r="1162" customFormat="false" ht="15" hidden="false" customHeight="false" outlineLevel="0" collapsed="false">
      <c r="I1162" s="3"/>
    </row>
    <row r="1163" customFormat="false" ht="15" hidden="false" customHeight="false" outlineLevel="0" collapsed="false">
      <c r="I1163" s="3"/>
    </row>
    <row r="1164" customFormat="false" ht="15" hidden="false" customHeight="false" outlineLevel="0" collapsed="false">
      <c r="I1164" s="3"/>
    </row>
    <row r="1165" customFormat="false" ht="15" hidden="false" customHeight="false" outlineLevel="0" collapsed="false">
      <c r="I1165" s="3"/>
    </row>
    <row r="1166" customFormat="false" ht="15" hidden="false" customHeight="false" outlineLevel="0" collapsed="false">
      <c r="I1166" s="3"/>
    </row>
    <row r="1167" customFormat="false" ht="15" hidden="false" customHeight="false" outlineLevel="0" collapsed="false">
      <c r="I1167" s="3"/>
    </row>
    <row r="1168" customFormat="false" ht="15" hidden="false" customHeight="false" outlineLevel="0" collapsed="false">
      <c r="I1168" s="3"/>
    </row>
    <row r="1169" customFormat="false" ht="15" hidden="false" customHeight="false" outlineLevel="0" collapsed="false">
      <c r="I1169" s="3"/>
    </row>
    <row r="1170" customFormat="false" ht="15" hidden="false" customHeight="false" outlineLevel="0" collapsed="false">
      <c r="I1170" s="3"/>
    </row>
    <row r="1171" customFormat="false" ht="15" hidden="false" customHeight="false" outlineLevel="0" collapsed="false">
      <c r="I1171" s="3"/>
    </row>
    <row r="1172" customFormat="false" ht="15" hidden="false" customHeight="false" outlineLevel="0" collapsed="false">
      <c r="I1172" s="3"/>
    </row>
    <row r="1173" customFormat="false" ht="15" hidden="false" customHeight="false" outlineLevel="0" collapsed="false">
      <c r="I1173" s="3"/>
    </row>
    <row r="1174" customFormat="false" ht="15" hidden="false" customHeight="false" outlineLevel="0" collapsed="false">
      <c r="I1174" s="3"/>
    </row>
    <row r="1175" customFormat="false" ht="15" hidden="false" customHeight="false" outlineLevel="0" collapsed="false">
      <c r="I1175" s="3"/>
    </row>
    <row r="1176" customFormat="false" ht="15" hidden="false" customHeight="false" outlineLevel="0" collapsed="false">
      <c r="I1176" s="3"/>
    </row>
    <row r="1177" customFormat="false" ht="15" hidden="false" customHeight="false" outlineLevel="0" collapsed="false">
      <c r="I1177" s="3"/>
    </row>
    <row r="1178" customFormat="false" ht="15" hidden="false" customHeight="false" outlineLevel="0" collapsed="false">
      <c r="I1178" s="3"/>
    </row>
    <row r="1179" customFormat="false" ht="15" hidden="false" customHeight="false" outlineLevel="0" collapsed="false">
      <c r="I1179" s="3"/>
    </row>
    <row r="1180" customFormat="false" ht="15" hidden="false" customHeight="false" outlineLevel="0" collapsed="false">
      <c r="I1180" s="3"/>
    </row>
    <row r="1181" customFormat="false" ht="15" hidden="false" customHeight="false" outlineLevel="0" collapsed="false">
      <c r="I1181" s="3"/>
    </row>
    <row r="1182" customFormat="false" ht="15" hidden="false" customHeight="false" outlineLevel="0" collapsed="false">
      <c r="I1182" s="3"/>
    </row>
    <row r="1183" customFormat="false" ht="15" hidden="false" customHeight="false" outlineLevel="0" collapsed="false">
      <c r="I1183" s="3"/>
    </row>
    <row r="1184" customFormat="false" ht="15" hidden="false" customHeight="false" outlineLevel="0" collapsed="false">
      <c r="I1184" s="3"/>
    </row>
    <row r="1185" customFormat="false" ht="15" hidden="false" customHeight="false" outlineLevel="0" collapsed="false">
      <c r="I1185" s="3"/>
    </row>
    <row r="1186" customFormat="false" ht="15" hidden="false" customHeight="false" outlineLevel="0" collapsed="false">
      <c r="I1186" s="3"/>
    </row>
    <row r="1187" customFormat="false" ht="15" hidden="false" customHeight="false" outlineLevel="0" collapsed="false">
      <c r="I1187" s="3"/>
    </row>
    <row r="1188" customFormat="false" ht="15" hidden="false" customHeight="false" outlineLevel="0" collapsed="false">
      <c r="I1188" s="3"/>
    </row>
    <row r="1189" customFormat="false" ht="15" hidden="false" customHeight="false" outlineLevel="0" collapsed="false">
      <c r="I1189" s="3"/>
    </row>
    <row r="1190" customFormat="false" ht="15" hidden="false" customHeight="false" outlineLevel="0" collapsed="false">
      <c r="I1190" s="3"/>
    </row>
    <row r="1191" customFormat="false" ht="15" hidden="false" customHeight="false" outlineLevel="0" collapsed="false">
      <c r="I1191" s="3"/>
    </row>
    <row r="1192" customFormat="false" ht="15" hidden="false" customHeight="false" outlineLevel="0" collapsed="false">
      <c r="I1192" s="3"/>
    </row>
    <row r="1193" customFormat="false" ht="15" hidden="false" customHeight="false" outlineLevel="0" collapsed="false">
      <c r="I1193" s="3"/>
    </row>
    <row r="1194" customFormat="false" ht="15" hidden="false" customHeight="false" outlineLevel="0" collapsed="false">
      <c r="I1194" s="3"/>
    </row>
    <row r="1195" customFormat="false" ht="15" hidden="false" customHeight="false" outlineLevel="0" collapsed="false">
      <c r="I1195" s="3"/>
    </row>
    <row r="1196" customFormat="false" ht="15" hidden="false" customHeight="false" outlineLevel="0" collapsed="false">
      <c r="I1196" s="3"/>
    </row>
    <row r="1197" customFormat="false" ht="15" hidden="false" customHeight="false" outlineLevel="0" collapsed="false">
      <c r="I1197" s="3"/>
    </row>
    <row r="1198" customFormat="false" ht="15" hidden="false" customHeight="false" outlineLevel="0" collapsed="false">
      <c r="I1198" s="3"/>
    </row>
    <row r="1199" customFormat="false" ht="15" hidden="false" customHeight="false" outlineLevel="0" collapsed="false">
      <c r="I1199" s="3"/>
    </row>
    <row r="1200" customFormat="false" ht="15" hidden="false" customHeight="false" outlineLevel="0" collapsed="false">
      <c r="I1200" s="3"/>
    </row>
    <row r="1201" customFormat="false" ht="15" hidden="false" customHeight="false" outlineLevel="0" collapsed="false">
      <c r="I1201" s="3"/>
    </row>
    <row r="1202" customFormat="false" ht="15" hidden="false" customHeight="false" outlineLevel="0" collapsed="false">
      <c r="I1202" s="3"/>
    </row>
    <row r="1203" customFormat="false" ht="15" hidden="false" customHeight="false" outlineLevel="0" collapsed="false">
      <c r="I1203" s="3"/>
    </row>
    <row r="1204" customFormat="false" ht="15" hidden="false" customHeight="false" outlineLevel="0" collapsed="false">
      <c r="I1204" s="3"/>
    </row>
    <row r="1205" customFormat="false" ht="15" hidden="false" customHeight="false" outlineLevel="0" collapsed="false">
      <c r="I1205" s="3"/>
    </row>
    <row r="1206" customFormat="false" ht="15" hidden="false" customHeight="false" outlineLevel="0" collapsed="false">
      <c r="I1206" s="3"/>
    </row>
    <row r="1207" customFormat="false" ht="15" hidden="false" customHeight="false" outlineLevel="0" collapsed="false">
      <c r="I1207" s="3"/>
    </row>
    <row r="1208" customFormat="false" ht="15" hidden="false" customHeight="false" outlineLevel="0" collapsed="false">
      <c r="I1208" s="3"/>
    </row>
    <row r="1209" customFormat="false" ht="15" hidden="false" customHeight="false" outlineLevel="0" collapsed="false">
      <c r="I1209" s="3"/>
    </row>
    <row r="1210" customFormat="false" ht="15" hidden="false" customHeight="false" outlineLevel="0" collapsed="false">
      <c r="I1210" s="3"/>
    </row>
    <row r="1211" customFormat="false" ht="15" hidden="false" customHeight="false" outlineLevel="0" collapsed="false">
      <c r="I1211" s="3"/>
    </row>
    <row r="1212" customFormat="false" ht="15" hidden="false" customHeight="false" outlineLevel="0" collapsed="false">
      <c r="I1212" s="3"/>
    </row>
    <row r="1213" customFormat="false" ht="15" hidden="false" customHeight="false" outlineLevel="0" collapsed="false">
      <c r="I1213" s="3"/>
    </row>
    <row r="1214" customFormat="false" ht="15" hidden="false" customHeight="false" outlineLevel="0" collapsed="false">
      <c r="I1214" s="3"/>
    </row>
    <row r="1215" customFormat="false" ht="15" hidden="false" customHeight="false" outlineLevel="0" collapsed="false">
      <c r="I1215" s="3"/>
    </row>
    <row r="1216" customFormat="false" ht="15" hidden="false" customHeight="false" outlineLevel="0" collapsed="false">
      <c r="I1216" s="3"/>
    </row>
    <row r="1217" customFormat="false" ht="15" hidden="false" customHeight="false" outlineLevel="0" collapsed="false">
      <c r="I1217" s="3"/>
    </row>
    <row r="1218" customFormat="false" ht="15" hidden="false" customHeight="false" outlineLevel="0" collapsed="false">
      <c r="I1218" s="3"/>
    </row>
    <row r="1219" customFormat="false" ht="15" hidden="false" customHeight="false" outlineLevel="0" collapsed="false">
      <c r="I1219" s="3"/>
    </row>
    <row r="1220" customFormat="false" ht="15" hidden="false" customHeight="false" outlineLevel="0" collapsed="false">
      <c r="I1220" s="3"/>
    </row>
    <row r="1221" customFormat="false" ht="15" hidden="false" customHeight="false" outlineLevel="0" collapsed="false">
      <c r="I1221" s="3"/>
    </row>
    <row r="1222" customFormat="false" ht="15" hidden="false" customHeight="false" outlineLevel="0" collapsed="false">
      <c r="I1222" s="3"/>
    </row>
    <row r="1223" customFormat="false" ht="15" hidden="false" customHeight="false" outlineLevel="0" collapsed="false">
      <c r="I1223" s="3"/>
    </row>
    <row r="1224" customFormat="false" ht="15" hidden="false" customHeight="false" outlineLevel="0" collapsed="false">
      <c r="I1224" s="3"/>
    </row>
    <row r="1225" customFormat="false" ht="15" hidden="false" customHeight="false" outlineLevel="0" collapsed="false">
      <c r="I1225" s="3"/>
    </row>
    <row r="1226" customFormat="false" ht="15" hidden="false" customHeight="false" outlineLevel="0" collapsed="false">
      <c r="I1226" s="3"/>
    </row>
    <row r="1227" customFormat="false" ht="15" hidden="false" customHeight="false" outlineLevel="0" collapsed="false">
      <c r="I1227" s="3"/>
    </row>
    <row r="1228" customFormat="false" ht="15" hidden="false" customHeight="false" outlineLevel="0" collapsed="false">
      <c r="I1228" s="3"/>
    </row>
    <row r="1229" customFormat="false" ht="15" hidden="false" customHeight="false" outlineLevel="0" collapsed="false">
      <c r="I1229" s="3"/>
    </row>
    <row r="1230" customFormat="false" ht="15" hidden="false" customHeight="false" outlineLevel="0" collapsed="false">
      <c r="I1230" s="3"/>
    </row>
    <row r="1231" customFormat="false" ht="15" hidden="false" customHeight="false" outlineLevel="0" collapsed="false">
      <c r="I1231" s="3"/>
    </row>
    <row r="1232" customFormat="false" ht="15" hidden="false" customHeight="false" outlineLevel="0" collapsed="false">
      <c r="I1232" s="3"/>
    </row>
    <row r="1233" customFormat="false" ht="15" hidden="false" customHeight="false" outlineLevel="0" collapsed="false">
      <c r="I1233" s="3"/>
    </row>
    <row r="1234" customFormat="false" ht="15" hidden="false" customHeight="false" outlineLevel="0" collapsed="false">
      <c r="I1234" s="3"/>
    </row>
    <row r="1235" customFormat="false" ht="15" hidden="false" customHeight="false" outlineLevel="0" collapsed="false">
      <c r="I1235" s="3"/>
    </row>
    <row r="1236" customFormat="false" ht="15" hidden="false" customHeight="false" outlineLevel="0" collapsed="false">
      <c r="I1236" s="3"/>
    </row>
    <row r="1237" customFormat="false" ht="15" hidden="false" customHeight="false" outlineLevel="0" collapsed="false">
      <c r="I1237" s="3"/>
    </row>
    <row r="1238" customFormat="false" ht="15" hidden="false" customHeight="false" outlineLevel="0" collapsed="false">
      <c r="I1238" s="3"/>
    </row>
    <row r="1239" customFormat="false" ht="15" hidden="false" customHeight="false" outlineLevel="0" collapsed="false">
      <c r="I1239" s="3"/>
    </row>
    <row r="1240" customFormat="false" ht="15" hidden="false" customHeight="false" outlineLevel="0" collapsed="false">
      <c r="I1240" s="3"/>
    </row>
    <row r="1241" customFormat="false" ht="15" hidden="false" customHeight="false" outlineLevel="0" collapsed="false">
      <c r="I1241" s="3"/>
    </row>
    <row r="1242" customFormat="false" ht="15" hidden="false" customHeight="false" outlineLevel="0" collapsed="false">
      <c r="I1242" s="3"/>
    </row>
    <row r="1243" customFormat="false" ht="15" hidden="false" customHeight="false" outlineLevel="0" collapsed="false">
      <c r="I1243" s="3"/>
    </row>
    <row r="1244" customFormat="false" ht="15" hidden="false" customHeight="false" outlineLevel="0" collapsed="false">
      <c r="I1244" s="3"/>
    </row>
    <row r="1245" customFormat="false" ht="15" hidden="false" customHeight="false" outlineLevel="0" collapsed="false">
      <c r="I1245" s="3"/>
    </row>
    <row r="1246" customFormat="false" ht="15" hidden="false" customHeight="false" outlineLevel="0" collapsed="false">
      <c r="I1246" s="3"/>
    </row>
    <row r="1247" customFormat="false" ht="15" hidden="false" customHeight="false" outlineLevel="0" collapsed="false">
      <c r="I1247" s="3"/>
    </row>
    <row r="1248" customFormat="false" ht="15" hidden="false" customHeight="false" outlineLevel="0" collapsed="false">
      <c r="I1248" s="3"/>
    </row>
    <row r="1249" customFormat="false" ht="15" hidden="false" customHeight="false" outlineLevel="0" collapsed="false">
      <c r="I1249" s="3"/>
    </row>
    <row r="1250" customFormat="false" ht="15" hidden="false" customHeight="false" outlineLevel="0" collapsed="false">
      <c r="I1250" s="3"/>
    </row>
    <row r="1251" customFormat="false" ht="15" hidden="false" customHeight="false" outlineLevel="0" collapsed="false">
      <c r="I1251" s="3"/>
    </row>
    <row r="1252" customFormat="false" ht="15" hidden="false" customHeight="false" outlineLevel="0" collapsed="false">
      <c r="I1252" s="3"/>
    </row>
    <row r="1253" customFormat="false" ht="15" hidden="false" customHeight="false" outlineLevel="0" collapsed="false">
      <c r="I1253" s="3"/>
    </row>
    <row r="1254" customFormat="false" ht="15" hidden="false" customHeight="false" outlineLevel="0" collapsed="false">
      <c r="I1254" s="3"/>
    </row>
    <row r="1255" customFormat="false" ht="15" hidden="false" customHeight="false" outlineLevel="0" collapsed="false">
      <c r="I1255" s="3"/>
    </row>
    <row r="1256" customFormat="false" ht="15" hidden="false" customHeight="false" outlineLevel="0" collapsed="false">
      <c r="I1256" s="3"/>
    </row>
    <row r="1257" customFormat="false" ht="15" hidden="false" customHeight="false" outlineLevel="0" collapsed="false">
      <c r="I1257" s="3"/>
    </row>
    <row r="1258" customFormat="false" ht="15" hidden="false" customHeight="false" outlineLevel="0" collapsed="false">
      <c r="I1258" s="3"/>
    </row>
    <row r="1259" customFormat="false" ht="15" hidden="false" customHeight="false" outlineLevel="0" collapsed="false">
      <c r="I1259" s="3"/>
    </row>
    <row r="1260" customFormat="false" ht="15" hidden="false" customHeight="false" outlineLevel="0" collapsed="false">
      <c r="I1260" s="3"/>
    </row>
    <row r="1261" customFormat="false" ht="15" hidden="false" customHeight="false" outlineLevel="0" collapsed="false">
      <c r="I1261" s="3"/>
    </row>
    <row r="1262" customFormat="false" ht="15" hidden="false" customHeight="false" outlineLevel="0" collapsed="false">
      <c r="I1262" s="3"/>
    </row>
    <row r="1263" customFormat="false" ht="15" hidden="false" customHeight="false" outlineLevel="0" collapsed="false">
      <c r="I1263" s="3"/>
    </row>
    <row r="1264" customFormat="false" ht="15" hidden="false" customHeight="false" outlineLevel="0" collapsed="false">
      <c r="I1264" s="3"/>
    </row>
    <row r="1265" customFormat="false" ht="15" hidden="false" customHeight="false" outlineLevel="0" collapsed="false">
      <c r="I1265" s="3"/>
    </row>
    <row r="1266" customFormat="false" ht="15" hidden="false" customHeight="false" outlineLevel="0" collapsed="false">
      <c r="I1266" s="3"/>
    </row>
    <row r="1267" customFormat="false" ht="15" hidden="false" customHeight="false" outlineLevel="0" collapsed="false">
      <c r="I1267" s="3"/>
    </row>
    <row r="1268" customFormat="false" ht="15" hidden="false" customHeight="false" outlineLevel="0" collapsed="false">
      <c r="I1268" s="3"/>
    </row>
    <row r="1269" customFormat="false" ht="15" hidden="false" customHeight="false" outlineLevel="0" collapsed="false">
      <c r="I1269" s="3"/>
    </row>
    <row r="1270" customFormat="false" ht="15" hidden="false" customHeight="false" outlineLevel="0" collapsed="false">
      <c r="I1270" s="3"/>
    </row>
    <row r="1271" customFormat="false" ht="15" hidden="false" customHeight="false" outlineLevel="0" collapsed="false">
      <c r="I1271" s="3"/>
    </row>
    <row r="1272" customFormat="false" ht="15" hidden="false" customHeight="false" outlineLevel="0" collapsed="false">
      <c r="I1272" s="3"/>
    </row>
    <row r="1273" customFormat="false" ht="15" hidden="false" customHeight="false" outlineLevel="0" collapsed="false">
      <c r="I1273" s="3"/>
    </row>
    <row r="1274" customFormat="false" ht="15" hidden="false" customHeight="false" outlineLevel="0" collapsed="false">
      <c r="I1274" s="3"/>
    </row>
    <row r="1275" customFormat="false" ht="15" hidden="false" customHeight="false" outlineLevel="0" collapsed="false">
      <c r="I1275" s="3"/>
    </row>
    <row r="1276" customFormat="false" ht="15" hidden="false" customHeight="false" outlineLevel="0" collapsed="false">
      <c r="I1276" s="3"/>
    </row>
    <row r="1277" customFormat="false" ht="15" hidden="false" customHeight="false" outlineLevel="0" collapsed="false">
      <c r="I1277" s="3"/>
    </row>
    <row r="1278" customFormat="false" ht="15" hidden="false" customHeight="false" outlineLevel="0" collapsed="false">
      <c r="I1278" s="3"/>
    </row>
    <row r="1279" customFormat="false" ht="15" hidden="false" customHeight="false" outlineLevel="0" collapsed="false">
      <c r="I1279" s="3"/>
    </row>
    <row r="1280" customFormat="false" ht="15" hidden="false" customHeight="false" outlineLevel="0" collapsed="false">
      <c r="I1280" s="3"/>
    </row>
    <row r="1281" customFormat="false" ht="15" hidden="false" customHeight="false" outlineLevel="0" collapsed="false">
      <c r="I1281" s="3"/>
    </row>
    <row r="1282" customFormat="false" ht="15" hidden="false" customHeight="false" outlineLevel="0" collapsed="false">
      <c r="I1282" s="3"/>
    </row>
    <row r="1283" customFormat="false" ht="15" hidden="false" customHeight="false" outlineLevel="0" collapsed="false">
      <c r="I1283" s="3"/>
    </row>
    <row r="1284" customFormat="false" ht="15" hidden="false" customHeight="false" outlineLevel="0" collapsed="false">
      <c r="I1284" s="3"/>
    </row>
    <row r="1285" customFormat="false" ht="15" hidden="false" customHeight="false" outlineLevel="0" collapsed="false">
      <c r="I1285" s="3"/>
    </row>
    <row r="1286" customFormat="false" ht="15" hidden="false" customHeight="false" outlineLevel="0" collapsed="false">
      <c r="I1286" s="3"/>
    </row>
    <row r="1287" customFormat="false" ht="15" hidden="false" customHeight="false" outlineLevel="0" collapsed="false">
      <c r="I1287" s="3"/>
    </row>
    <row r="1288" customFormat="false" ht="15" hidden="false" customHeight="false" outlineLevel="0" collapsed="false">
      <c r="I1288" s="3"/>
    </row>
    <row r="1289" customFormat="false" ht="15" hidden="false" customHeight="false" outlineLevel="0" collapsed="false">
      <c r="I1289" s="3"/>
    </row>
    <row r="1290" customFormat="false" ht="15" hidden="false" customHeight="false" outlineLevel="0" collapsed="false">
      <c r="I1290" s="3"/>
    </row>
    <row r="1291" customFormat="false" ht="15" hidden="false" customHeight="false" outlineLevel="0" collapsed="false">
      <c r="I1291" s="3"/>
    </row>
    <row r="1292" customFormat="false" ht="15" hidden="false" customHeight="false" outlineLevel="0" collapsed="false">
      <c r="I1292" s="3"/>
    </row>
    <row r="1293" customFormat="false" ht="15" hidden="false" customHeight="false" outlineLevel="0" collapsed="false">
      <c r="I1293" s="3"/>
    </row>
    <row r="1294" customFormat="false" ht="15" hidden="false" customHeight="false" outlineLevel="0" collapsed="false">
      <c r="I1294" s="3"/>
    </row>
    <row r="1295" customFormat="false" ht="15" hidden="false" customHeight="false" outlineLevel="0" collapsed="false">
      <c r="I1295" s="3"/>
    </row>
    <row r="1296" customFormat="false" ht="15" hidden="false" customHeight="false" outlineLevel="0" collapsed="false">
      <c r="I1296" s="3"/>
    </row>
    <row r="1297" customFormat="false" ht="15" hidden="false" customHeight="false" outlineLevel="0" collapsed="false">
      <c r="I1297" s="3"/>
    </row>
    <row r="1298" customFormat="false" ht="15" hidden="false" customHeight="false" outlineLevel="0" collapsed="false">
      <c r="I1298" s="3"/>
    </row>
    <row r="1299" customFormat="false" ht="15" hidden="false" customHeight="false" outlineLevel="0" collapsed="false">
      <c r="I1299" s="3"/>
    </row>
    <row r="1300" customFormat="false" ht="15" hidden="false" customHeight="false" outlineLevel="0" collapsed="false">
      <c r="I1300" s="3"/>
    </row>
    <row r="1301" customFormat="false" ht="15" hidden="false" customHeight="false" outlineLevel="0" collapsed="false">
      <c r="I1301" s="3"/>
    </row>
    <row r="1302" customFormat="false" ht="15" hidden="false" customHeight="false" outlineLevel="0" collapsed="false">
      <c r="I1302" s="3"/>
    </row>
    <row r="1303" customFormat="false" ht="15" hidden="false" customHeight="false" outlineLevel="0" collapsed="false">
      <c r="I1303" s="3"/>
    </row>
    <row r="1304" customFormat="false" ht="15" hidden="false" customHeight="false" outlineLevel="0" collapsed="false">
      <c r="I1304" s="3"/>
    </row>
    <row r="1305" customFormat="false" ht="15" hidden="false" customHeight="false" outlineLevel="0" collapsed="false">
      <c r="I1305" s="3"/>
    </row>
    <row r="1306" customFormat="false" ht="15" hidden="false" customHeight="false" outlineLevel="0" collapsed="false">
      <c r="I1306" s="3"/>
    </row>
    <row r="1307" customFormat="false" ht="15" hidden="false" customHeight="false" outlineLevel="0" collapsed="false">
      <c r="I1307" s="3"/>
    </row>
    <row r="1308" customFormat="false" ht="15" hidden="false" customHeight="false" outlineLevel="0" collapsed="false">
      <c r="I1308" s="3"/>
    </row>
    <row r="1309" customFormat="false" ht="15" hidden="false" customHeight="false" outlineLevel="0" collapsed="false">
      <c r="I1309" s="3"/>
    </row>
    <row r="1310" customFormat="false" ht="15" hidden="false" customHeight="false" outlineLevel="0" collapsed="false">
      <c r="I1310" s="3"/>
    </row>
    <row r="1311" customFormat="false" ht="15" hidden="false" customHeight="false" outlineLevel="0" collapsed="false">
      <c r="I1311" s="3"/>
    </row>
    <row r="1312" customFormat="false" ht="15" hidden="false" customHeight="false" outlineLevel="0" collapsed="false">
      <c r="I1312" s="3"/>
    </row>
    <row r="1313" customFormat="false" ht="15" hidden="false" customHeight="false" outlineLevel="0" collapsed="false">
      <c r="I1313" s="3"/>
    </row>
    <row r="1314" customFormat="false" ht="15" hidden="false" customHeight="false" outlineLevel="0" collapsed="false">
      <c r="I1314" s="3"/>
    </row>
    <row r="1315" customFormat="false" ht="15" hidden="false" customHeight="false" outlineLevel="0" collapsed="false">
      <c r="I1315" s="3"/>
    </row>
    <row r="1316" customFormat="false" ht="15" hidden="false" customHeight="false" outlineLevel="0" collapsed="false">
      <c r="I1316" s="3"/>
    </row>
    <row r="1317" customFormat="false" ht="15" hidden="false" customHeight="false" outlineLevel="0" collapsed="false">
      <c r="I1317" s="3"/>
    </row>
    <row r="1318" customFormat="false" ht="15" hidden="false" customHeight="false" outlineLevel="0" collapsed="false">
      <c r="I1318" s="3"/>
    </row>
    <row r="1319" customFormat="false" ht="15" hidden="false" customHeight="false" outlineLevel="0" collapsed="false">
      <c r="I1319" s="3"/>
    </row>
    <row r="1320" customFormat="false" ht="15" hidden="false" customHeight="false" outlineLevel="0" collapsed="false">
      <c r="I1320" s="3"/>
    </row>
    <row r="1321" customFormat="false" ht="15" hidden="false" customHeight="false" outlineLevel="0" collapsed="false">
      <c r="I1321" s="3"/>
    </row>
    <row r="1322" customFormat="false" ht="15" hidden="false" customHeight="false" outlineLevel="0" collapsed="false">
      <c r="I1322" s="3"/>
    </row>
    <row r="1323" customFormat="false" ht="15" hidden="false" customHeight="false" outlineLevel="0" collapsed="false">
      <c r="I1323" s="3"/>
    </row>
    <row r="1324" customFormat="false" ht="15" hidden="false" customHeight="false" outlineLevel="0" collapsed="false">
      <c r="I1324" s="3"/>
    </row>
    <row r="1325" customFormat="false" ht="15" hidden="false" customHeight="false" outlineLevel="0" collapsed="false">
      <c r="I1325" s="3"/>
    </row>
    <row r="1326" customFormat="false" ht="15" hidden="false" customHeight="false" outlineLevel="0" collapsed="false">
      <c r="I1326" s="3"/>
    </row>
    <row r="1327" customFormat="false" ht="15" hidden="false" customHeight="false" outlineLevel="0" collapsed="false">
      <c r="I1327" s="3"/>
    </row>
    <row r="1328" customFormat="false" ht="15" hidden="false" customHeight="false" outlineLevel="0" collapsed="false">
      <c r="I1328" s="3"/>
    </row>
    <row r="1329" customFormat="false" ht="15" hidden="false" customHeight="false" outlineLevel="0" collapsed="false">
      <c r="I1329" s="3"/>
    </row>
    <row r="1330" customFormat="false" ht="15" hidden="false" customHeight="false" outlineLevel="0" collapsed="false">
      <c r="I1330" s="3"/>
    </row>
    <row r="1331" customFormat="false" ht="15" hidden="false" customHeight="false" outlineLevel="0" collapsed="false">
      <c r="I1331" s="3"/>
    </row>
    <row r="1332" customFormat="false" ht="15" hidden="false" customHeight="false" outlineLevel="0" collapsed="false">
      <c r="I1332" s="3"/>
    </row>
    <row r="1333" customFormat="false" ht="15" hidden="false" customHeight="false" outlineLevel="0" collapsed="false">
      <c r="I1333" s="3"/>
    </row>
    <row r="1334" customFormat="false" ht="15" hidden="false" customHeight="false" outlineLevel="0" collapsed="false">
      <c r="I1334" s="3"/>
    </row>
    <row r="1335" customFormat="false" ht="15" hidden="false" customHeight="false" outlineLevel="0" collapsed="false">
      <c r="I1335" s="3"/>
    </row>
    <row r="1336" customFormat="false" ht="15" hidden="false" customHeight="false" outlineLevel="0" collapsed="false">
      <c r="I1336" s="3"/>
    </row>
    <row r="1337" customFormat="false" ht="15" hidden="false" customHeight="false" outlineLevel="0" collapsed="false">
      <c r="I1337" s="3"/>
    </row>
    <row r="1338" customFormat="false" ht="15" hidden="false" customHeight="false" outlineLevel="0" collapsed="false">
      <c r="I1338" s="3"/>
    </row>
    <row r="1339" customFormat="false" ht="15" hidden="false" customHeight="false" outlineLevel="0" collapsed="false">
      <c r="I1339" s="3"/>
    </row>
    <row r="1340" customFormat="false" ht="15" hidden="false" customHeight="false" outlineLevel="0" collapsed="false">
      <c r="I1340" s="3"/>
    </row>
    <row r="1341" customFormat="false" ht="15" hidden="false" customHeight="false" outlineLevel="0" collapsed="false">
      <c r="I1341" s="3"/>
    </row>
    <row r="1342" customFormat="false" ht="15" hidden="false" customHeight="false" outlineLevel="0" collapsed="false">
      <c r="I1342" s="3"/>
    </row>
    <row r="1343" customFormat="false" ht="15" hidden="false" customHeight="false" outlineLevel="0" collapsed="false">
      <c r="I1343" s="3"/>
    </row>
    <row r="1344" customFormat="false" ht="15" hidden="false" customHeight="false" outlineLevel="0" collapsed="false">
      <c r="I1344" s="3"/>
    </row>
    <row r="1345" customFormat="false" ht="15" hidden="false" customHeight="false" outlineLevel="0" collapsed="false">
      <c r="I1345" s="3"/>
    </row>
    <row r="1346" customFormat="false" ht="15" hidden="false" customHeight="false" outlineLevel="0" collapsed="false">
      <c r="I1346" s="3"/>
    </row>
    <row r="1347" customFormat="false" ht="15" hidden="false" customHeight="false" outlineLevel="0" collapsed="false">
      <c r="I1347" s="3"/>
    </row>
    <row r="1348" customFormat="false" ht="15" hidden="false" customHeight="false" outlineLevel="0" collapsed="false">
      <c r="I1348" s="3"/>
    </row>
    <row r="1349" customFormat="false" ht="15" hidden="false" customHeight="false" outlineLevel="0" collapsed="false">
      <c r="I1349" s="3"/>
    </row>
    <row r="1350" customFormat="false" ht="15" hidden="false" customHeight="false" outlineLevel="0" collapsed="false">
      <c r="I1350" s="3"/>
    </row>
    <row r="1351" customFormat="false" ht="15" hidden="false" customHeight="false" outlineLevel="0" collapsed="false">
      <c r="I1351" s="3"/>
    </row>
    <row r="1352" customFormat="false" ht="15" hidden="false" customHeight="false" outlineLevel="0" collapsed="false">
      <c r="I1352" s="3"/>
    </row>
    <row r="1353" customFormat="false" ht="15" hidden="false" customHeight="false" outlineLevel="0" collapsed="false">
      <c r="I1353" s="3"/>
    </row>
    <row r="1354" customFormat="false" ht="15" hidden="false" customHeight="false" outlineLevel="0" collapsed="false">
      <c r="I1354" s="3"/>
    </row>
    <row r="1355" customFormat="false" ht="15" hidden="false" customHeight="false" outlineLevel="0" collapsed="false">
      <c r="I1355" s="3"/>
    </row>
    <row r="1356" customFormat="false" ht="15" hidden="false" customHeight="false" outlineLevel="0" collapsed="false">
      <c r="I1356" s="3"/>
    </row>
    <row r="1357" customFormat="false" ht="15" hidden="false" customHeight="false" outlineLevel="0" collapsed="false">
      <c r="I1357" s="3"/>
    </row>
    <row r="1358" customFormat="false" ht="15" hidden="false" customHeight="false" outlineLevel="0" collapsed="false">
      <c r="I1358" s="3"/>
    </row>
    <row r="1359" customFormat="false" ht="15" hidden="false" customHeight="false" outlineLevel="0" collapsed="false">
      <c r="I1359" s="3"/>
    </row>
    <row r="1360" customFormat="false" ht="15" hidden="false" customHeight="false" outlineLevel="0" collapsed="false">
      <c r="I1360" s="3"/>
    </row>
    <row r="1361" customFormat="false" ht="15" hidden="false" customHeight="false" outlineLevel="0" collapsed="false">
      <c r="I1361" s="3"/>
    </row>
    <row r="1362" customFormat="false" ht="15" hidden="false" customHeight="false" outlineLevel="0" collapsed="false">
      <c r="I1362" s="3"/>
    </row>
    <row r="1363" customFormat="false" ht="15" hidden="false" customHeight="false" outlineLevel="0" collapsed="false">
      <c r="I1363" s="3"/>
    </row>
    <row r="1364" customFormat="false" ht="15" hidden="false" customHeight="false" outlineLevel="0" collapsed="false">
      <c r="I1364" s="3"/>
    </row>
    <row r="1365" customFormat="false" ht="15" hidden="false" customHeight="false" outlineLevel="0" collapsed="false">
      <c r="I1365" s="3"/>
    </row>
    <row r="1366" customFormat="false" ht="15" hidden="false" customHeight="false" outlineLevel="0" collapsed="false">
      <c r="I1366" s="3"/>
    </row>
    <row r="1367" customFormat="false" ht="15" hidden="false" customHeight="false" outlineLevel="0" collapsed="false">
      <c r="I1367" s="3"/>
    </row>
    <row r="1368" customFormat="false" ht="15" hidden="false" customHeight="false" outlineLevel="0" collapsed="false">
      <c r="I1368" s="3"/>
    </row>
    <row r="1369" customFormat="false" ht="15" hidden="false" customHeight="false" outlineLevel="0" collapsed="false">
      <c r="I1369" s="3"/>
    </row>
    <row r="1370" customFormat="false" ht="15" hidden="false" customHeight="false" outlineLevel="0" collapsed="false">
      <c r="I1370" s="3"/>
    </row>
    <row r="1371" customFormat="false" ht="15" hidden="false" customHeight="false" outlineLevel="0" collapsed="false">
      <c r="I1371" s="3"/>
    </row>
    <row r="1372" customFormat="false" ht="15" hidden="false" customHeight="false" outlineLevel="0" collapsed="false">
      <c r="I1372" s="3"/>
    </row>
    <row r="1373" customFormat="false" ht="15" hidden="false" customHeight="false" outlineLevel="0" collapsed="false">
      <c r="I1373" s="3"/>
    </row>
    <row r="1374" customFormat="false" ht="15" hidden="false" customHeight="false" outlineLevel="0" collapsed="false">
      <c r="I1374" s="3"/>
    </row>
    <row r="1375" customFormat="false" ht="15" hidden="false" customHeight="false" outlineLevel="0" collapsed="false">
      <c r="I1375" s="3"/>
    </row>
    <row r="1376" customFormat="false" ht="15" hidden="false" customHeight="false" outlineLevel="0" collapsed="false">
      <c r="I1376" s="3"/>
    </row>
    <row r="1377" customFormat="false" ht="15" hidden="false" customHeight="false" outlineLevel="0" collapsed="false">
      <c r="I1377" s="3"/>
    </row>
    <row r="1378" customFormat="false" ht="15" hidden="false" customHeight="false" outlineLevel="0" collapsed="false">
      <c r="I1378" s="3"/>
    </row>
    <row r="1379" customFormat="false" ht="15" hidden="false" customHeight="false" outlineLevel="0" collapsed="false">
      <c r="I1379" s="3"/>
    </row>
    <row r="1380" customFormat="false" ht="15" hidden="false" customHeight="false" outlineLevel="0" collapsed="false">
      <c r="I1380" s="3"/>
    </row>
    <row r="1381" customFormat="false" ht="15" hidden="false" customHeight="false" outlineLevel="0" collapsed="false">
      <c r="I1381" s="3"/>
    </row>
    <row r="1382" customFormat="false" ht="15" hidden="false" customHeight="false" outlineLevel="0" collapsed="false">
      <c r="I1382" s="3"/>
    </row>
    <row r="1383" customFormat="false" ht="15" hidden="false" customHeight="false" outlineLevel="0" collapsed="false">
      <c r="I1383" s="3"/>
    </row>
    <row r="1384" customFormat="false" ht="15" hidden="false" customHeight="false" outlineLevel="0" collapsed="false">
      <c r="I1384" s="3"/>
    </row>
    <row r="1385" customFormat="false" ht="15" hidden="false" customHeight="false" outlineLevel="0" collapsed="false">
      <c r="I1385" s="3"/>
    </row>
    <row r="1386" customFormat="false" ht="15" hidden="false" customHeight="false" outlineLevel="0" collapsed="false">
      <c r="I1386" s="3"/>
    </row>
    <row r="1387" customFormat="false" ht="15" hidden="false" customHeight="false" outlineLevel="0" collapsed="false">
      <c r="I1387" s="3"/>
    </row>
    <row r="1388" customFormat="false" ht="15" hidden="false" customHeight="false" outlineLevel="0" collapsed="false">
      <c r="I1388" s="3"/>
    </row>
    <row r="1389" customFormat="false" ht="15" hidden="false" customHeight="false" outlineLevel="0" collapsed="false">
      <c r="I1389" s="3"/>
    </row>
    <row r="1390" customFormat="false" ht="15" hidden="false" customHeight="false" outlineLevel="0" collapsed="false">
      <c r="I1390" s="3"/>
    </row>
    <row r="1391" customFormat="false" ht="15" hidden="false" customHeight="false" outlineLevel="0" collapsed="false">
      <c r="I1391" s="3"/>
    </row>
    <row r="1392" customFormat="false" ht="15" hidden="false" customHeight="false" outlineLevel="0" collapsed="false">
      <c r="I1392" s="3"/>
    </row>
    <row r="1393" customFormat="false" ht="15" hidden="false" customHeight="false" outlineLevel="0" collapsed="false">
      <c r="I1393" s="3"/>
    </row>
    <row r="1394" customFormat="false" ht="15" hidden="false" customHeight="false" outlineLevel="0" collapsed="false">
      <c r="I1394" s="3"/>
    </row>
    <row r="1395" customFormat="false" ht="15" hidden="false" customHeight="false" outlineLevel="0" collapsed="false">
      <c r="I1395" s="3"/>
    </row>
    <row r="1396" customFormat="false" ht="15" hidden="false" customHeight="false" outlineLevel="0" collapsed="false">
      <c r="I1396" s="3"/>
    </row>
    <row r="1397" customFormat="false" ht="15" hidden="false" customHeight="false" outlineLevel="0" collapsed="false">
      <c r="I1397" s="3"/>
    </row>
    <row r="1398" customFormat="false" ht="15" hidden="false" customHeight="false" outlineLevel="0" collapsed="false">
      <c r="I1398" s="3"/>
    </row>
    <row r="1399" customFormat="false" ht="15" hidden="false" customHeight="false" outlineLevel="0" collapsed="false">
      <c r="I1399" s="3"/>
    </row>
    <row r="1400" customFormat="false" ht="15" hidden="false" customHeight="false" outlineLevel="0" collapsed="false">
      <c r="I1400" s="3"/>
    </row>
    <row r="1401" customFormat="false" ht="15" hidden="false" customHeight="false" outlineLevel="0" collapsed="false">
      <c r="I1401" s="3"/>
    </row>
    <row r="1402" customFormat="false" ht="15" hidden="false" customHeight="false" outlineLevel="0" collapsed="false">
      <c r="I1402" s="3"/>
    </row>
    <row r="1403" customFormat="false" ht="15" hidden="false" customHeight="false" outlineLevel="0" collapsed="false">
      <c r="I1403" s="3"/>
    </row>
    <row r="1404" customFormat="false" ht="15" hidden="false" customHeight="false" outlineLevel="0" collapsed="false">
      <c r="I1404" s="3"/>
    </row>
    <row r="1405" customFormat="false" ht="15" hidden="false" customHeight="false" outlineLevel="0" collapsed="false">
      <c r="I1405" s="3"/>
    </row>
    <row r="1406" customFormat="false" ht="15" hidden="false" customHeight="false" outlineLevel="0" collapsed="false">
      <c r="I1406" s="3"/>
    </row>
    <row r="1407" customFormat="false" ht="15" hidden="false" customHeight="false" outlineLevel="0" collapsed="false">
      <c r="I1407" s="3"/>
    </row>
    <row r="1408" customFormat="false" ht="15" hidden="false" customHeight="false" outlineLevel="0" collapsed="false">
      <c r="I1408" s="3"/>
    </row>
    <row r="1409" customFormat="false" ht="15" hidden="false" customHeight="false" outlineLevel="0" collapsed="false">
      <c r="I1409" s="3"/>
    </row>
    <row r="1410" customFormat="false" ht="15" hidden="false" customHeight="false" outlineLevel="0" collapsed="false">
      <c r="I1410" s="3"/>
    </row>
    <row r="1411" customFormat="false" ht="15" hidden="false" customHeight="false" outlineLevel="0" collapsed="false">
      <c r="I1411" s="3"/>
    </row>
    <row r="1412" customFormat="false" ht="15" hidden="false" customHeight="false" outlineLevel="0" collapsed="false">
      <c r="I1412" s="3"/>
    </row>
    <row r="1413" customFormat="false" ht="15" hidden="false" customHeight="false" outlineLevel="0" collapsed="false">
      <c r="I1413" s="3"/>
    </row>
    <row r="1414" customFormat="false" ht="15" hidden="false" customHeight="false" outlineLevel="0" collapsed="false">
      <c r="I1414" s="3"/>
    </row>
    <row r="1415" customFormat="false" ht="15" hidden="false" customHeight="false" outlineLevel="0" collapsed="false">
      <c r="I1415" s="3"/>
    </row>
    <row r="1416" customFormat="false" ht="15" hidden="false" customHeight="false" outlineLevel="0" collapsed="false">
      <c r="I1416" s="3"/>
    </row>
    <row r="1417" customFormat="false" ht="15" hidden="false" customHeight="false" outlineLevel="0" collapsed="false">
      <c r="I1417" s="3"/>
    </row>
    <row r="1418" customFormat="false" ht="15" hidden="false" customHeight="false" outlineLevel="0" collapsed="false">
      <c r="I1418" s="3"/>
    </row>
    <row r="1419" customFormat="false" ht="15" hidden="false" customHeight="false" outlineLevel="0" collapsed="false">
      <c r="I1419" s="3"/>
    </row>
    <row r="1420" customFormat="false" ht="15" hidden="false" customHeight="false" outlineLevel="0" collapsed="false">
      <c r="I1420" s="3"/>
    </row>
    <row r="1421" customFormat="false" ht="15" hidden="false" customHeight="false" outlineLevel="0" collapsed="false">
      <c r="I1421" s="3"/>
    </row>
    <row r="1422" customFormat="false" ht="15" hidden="false" customHeight="false" outlineLevel="0" collapsed="false">
      <c r="I1422" s="3"/>
    </row>
    <row r="1423" customFormat="false" ht="15" hidden="false" customHeight="false" outlineLevel="0" collapsed="false">
      <c r="I1423" s="3"/>
    </row>
    <row r="1424" customFormat="false" ht="15" hidden="false" customHeight="false" outlineLevel="0" collapsed="false">
      <c r="I1424" s="3"/>
    </row>
    <row r="1425" customFormat="false" ht="15" hidden="false" customHeight="false" outlineLevel="0" collapsed="false">
      <c r="I1425" s="3"/>
    </row>
    <row r="1426" customFormat="false" ht="15" hidden="false" customHeight="false" outlineLevel="0" collapsed="false">
      <c r="I1426" s="3"/>
    </row>
    <row r="1427" customFormat="false" ht="15" hidden="false" customHeight="false" outlineLevel="0" collapsed="false">
      <c r="I1427" s="3"/>
    </row>
    <row r="1428" customFormat="false" ht="15" hidden="false" customHeight="false" outlineLevel="0" collapsed="false">
      <c r="I1428" s="3"/>
    </row>
    <row r="1429" customFormat="false" ht="15" hidden="false" customHeight="false" outlineLevel="0" collapsed="false">
      <c r="I1429" s="3"/>
    </row>
    <row r="1430" customFormat="false" ht="15" hidden="false" customHeight="false" outlineLevel="0" collapsed="false">
      <c r="I1430" s="3"/>
    </row>
    <row r="1431" customFormat="false" ht="15" hidden="false" customHeight="false" outlineLevel="0" collapsed="false">
      <c r="I1431" s="3"/>
    </row>
    <row r="1432" customFormat="false" ht="15" hidden="false" customHeight="false" outlineLevel="0" collapsed="false">
      <c r="I1432" s="3"/>
    </row>
    <row r="1433" customFormat="false" ht="15" hidden="false" customHeight="false" outlineLevel="0" collapsed="false">
      <c r="I1433" s="3"/>
    </row>
    <row r="1434" customFormat="false" ht="15" hidden="false" customHeight="false" outlineLevel="0" collapsed="false">
      <c r="I1434" s="3"/>
    </row>
    <row r="1435" customFormat="false" ht="15" hidden="false" customHeight="false" outlineLevel="0" collapsed="false">
      <c r="I1435" s="3"/>
    </row>
    <row r="1436" customFormat="false" ht="15" hidden="false" customHeight="false" outlineLevel="0" collapsed="false">
      <c r="I1436" s="3"/>
    </row>
    <row r="1437" customFormat="false" ht="15" hidden="false" customHeight="false" outlineLevel="0" collapsed="false">
      <c r="I1437" s="3"/>
    </row>
    <row r="1438" customFormat="false" ht="15" hidden="false" customHeight="false" outlineLevel="0" collapsed="false">
      <c r="I1438" s="3"/>
    </row>
    <row r="1439" customFormat="false" ht="15" hidden="false" customHeight="false" outlineLevel="0" collapsed="false">
      <c r="I1439" s="3"/>
    </row>
    <row r="1440" customFormat="false" ht="15" hidden="false" customHeight="false" outlineLevel="0" collapsed="false">
      <c r="I1440" s="3"/>
    </row>
    <row r="1441" customFormat="false" ht="15" hidden="false" customHeight="false" outlineLevel="0" collapsed="false">
      <c r="I1441" s="3"/>
    </row>
    <row r="1442" customFormat="false" ht="15" hidden="false" customHeight="false" outlineLevel="0" collapsed="false">
      <c r="I1442" s="3"/>
    </row>
    <row r="1443" customFormat="false" ht="15" hidden="false" customHeight="false" outlineLevel="0" collapsed="false">
      <c r="I1443" s="3"/>
    </row>
    <row r="1444" customFormat="false" ht="15" hidden="false" customHeight="false" outlineLevel="0" collapsed="false">
      <c r="I1444" s="3"/>
    </row>
    <row r="1445" customFormat="false" ht="15" hidden="false" customHeight="false" outlineLevel="0" collapsed="false">
      <c r="I1445" s="3"/>
    </row>
    <row r="1446" customFormat="false" ht="15" hidden="false" customHeight="false" outlineLevel="0" collapsed="false">
      <c r="I1446" s="3"/>
    </row>
    <row r="1447" customFormat="false" ht="15" hidden="false" customHeight="false" outlineLevel="0" collapsed="false">
      <c r="I1447" s="3"/>
    </row>
    <row r="1448" customFormat="false" ht="15" hidden="false" customHeight="false" outlineLevel="0" collapsed="false">
      <c r="I1448" s="3"/>
    </row>
    <row r="1449" customFormat="false" ht="15" hidden="false" customHeight="false" outlineLevel="0" collapsed="false">
      <c r="I1449" s="3"/>
    </row>
    <row r="1450" customFormat="false" ht="15" hidden="false" customHeight="false" outlineLevel="0" collapsed="false">
      <c r="I1450" s="3"/>
    </row>
    <row r="1451" customFormat="false" ht="15" hidden="false" customHeight="false" outlineLevel="0" collapsed="false">
      <c r="I1451" s="3"/>
    </row>
    <row r="1452" customFormat="false" ht="15" hidden="false" customHeight="false" outlineLevel="0" collapsed="false">
      <c r="I1452" s="3"/>
    </row>
    <row r="1453" customFormat="false" ht="15" hidden="false" customHeight="false" outlineLevel="0" collapsed="false">
      <c r="I1453" s="3"/>
    </row>
    <row r="1454" customFormat="false" ht="15" hidden="false" customHeight="false" outlineLevel="0" collapsed="false">
      <c r="I1454" s="3"/>
    </row>
    <row r="1455" customFormat="false" ht="15" hidden="false" customHeight="false" outlineLevel="0" collapsed="false">
      <c r="I1455" s="3"/>
    </row>
    <row r="1456" customFormat="false" ht="15" hidden="false" customHeight="false" outlineLevel="0" collapsed="false">
      <c r="I1456" s="3"/>
    </row>
    <row r="1457" customFormat="false" ht="15" hidden="false" customHeight="false" outlineLevel="0" collapsed="false">
      <c r="I1457" s="3"/>
    </row>
    <row r="1458" customFormat="false" ht="15" hidden="false" customHeight="false" outlineLevel="0" collapsed="false">
      <c r="I1458" s="3"/>
    </row>
    <row r="1459" customFormat="false" ht="15" hidden="false" customHeight="false" outlineLevel="0" collapsed="false">
      <c r="I1459" s="3"/>
    </row>
    <row r="1460" customFormat="false" ht="15" hidden="false" customHeight="false" outlineLevel="0" collapsed="false">
      <c r="I1460" s="3"/>
    </row>
    <row r="1461" customFormat="false" ht="15" hidden="false" customHeight="false" outlineLevel="0" collapsed="false">
      <c r="I1461" s="3"/>
    </row>
    <row r="1462" customFormat="false" ht="15" hidden="false" customHeight="false" outlineLevel="0" collapsed="false">
      <c r="I1462" s="3"/>
    </row>
    <row r="1463" customFormat="false" ht="15" hidden="false" customHeight="false" outlineLevel="0" collapsed="false">
      <c r="I1463" s="3"/>
    </row>
    <row r="1464" customFormat="false" ht="15" hidden="false" customHeight="false" outlineLevel="0" collapsed="false">
      <c r="I1464" s="3"/>
    </row>
    <row r="1465" customFormat="false" ht="15" hidden="false" customHeight="false" outlineLevel="0" collapsed="false">
      <c r="I1465" s="3"/>
    </row>
    <row r="1466" customFormat="false" ht="15" hidden="false" customHeight="false" outlineLevel="0" collapsed="false">
      <c r="I1466" s="3"/>
    </row>
    <row r="1467" customFormat="false" ht="15" hidden="false" customHeight="false" outlineLevel="0" collapsed="false">
      <c r="I1467" s="3"/>
    </row>
    <row r="1468" customFormat="false" ht="15" hidden="false" customHeight="false" outlineLevel="0" collapsed="false">
      <c r="I1468" s="3"/>
    </row>
    <row r="1469" customFormat="false" ht="15" hidden="false" customHeight="false" outlineLevel="0" collapsed="false">
      <c r="I1469" s="3"/>
    </row>
    <row r="1470" customFormat="false" ht="15" hidden="false" customHeight="false" outlineLevel="0" collapsed="false">
      <c r="I1470" s="3"/>
    </row>
    <row r="1471" customFormat="false" ht="15" hidden="false" customHeight="false" outlineLevel="0" collapsed="false">
      <c r="I1471" s="3"/>
    </row>
    <row r="1472" customFormat="false" ht="15" hidden="false" customHeight="false" outlineLevel="0" collapsed="false">
      <c r="I1472" s="3"/>
    </row>
    <row r="1473" customFormat="false" ht="15" hidden="false" customHeight="false" outlineLevel="0" collapsed="false">
      <c r="I1473" s="3"/>
    </row>
    <row r="1474" customFormat="false" ht="15" hidden="false" customHeight="false" outlineLevel="0" collapsed="false">
      <c r="I1474" s="3"/>
    </row>
    <row r="1475" customFormat="false" ht="15" hidden="false" customHeight="false" outlineLevel="0" collapsed="false">
      <c r="I1475" s="3"/>
    </row>
    <row r="1476" customFormat="false" ht="15" hidden="false" customHeight="false" outlineLevel="0" collapsed="false">
      <c r="I1476" s="3"/>
    </row>
    <row r="1477" customFormat="false" ht="15" hidden="false" customHeight="false" outlineLevel="0" collapsed="false">
      <c r="I1477" s="3"/>
    </row>
    <row r="1478" customFormat="false" ht="15" hidden="false" customHeight="false" outlineLevel="0" collapsed="false">
      <c r="I1478" s="3"/>
    </row>
    <row r="1479" customFormat="false" ht="15" hidden="false" customHeight="false" outlineLevel="0" collapsed="false">
      <c r="I1479" s="3"/>
    </row>
    <row r="1480" customFormat="false" ht="15" hidden="false" customHeight="false" outlineLevel="0" collapsed="false">
      <c r="I1480" s="3"/>
    </row>
    <row r="1481" customFormat="false" ht="15" hidden="false" customHeight="false" outlineLevel="0" collapsed="false">
      <c r="I1481" s="3"/>
    </row>
    <row r="1482" customFormat="false" ht="15" hidden="false" customHeight="false" outlineLevel="0" collapsed="false">
      <c r="I1482" s="3"/>
    </row>
    <row r="1483" customFormat="false" ht="15" hidden="false" customHeight="false" outlineLevel="0" collapsed="false">
      <c r="I1483" s="3"/>
    </row>
    <row r="1484" customFormat="false" ht="15" hidden="false" customHeight="false" outlineLevel="0" collapsed="false">
      <c r="I1484" s="3"/>
    </row>
    <row r="1485" customFormat="false" ht="15" hidden="false" customHeight="false" outlineLevel="0" collapsed="false">
      <c r="I1485" s="3"/>
    </row>
    <row r="1486" customFormat="false" ht="15" hidden="false" customHeight="false" outlineLevel="0" collapsed="false">
      <c r="I1486" s="3"/>
    </row>
    <row r="1487" customFormat="false" ht="15" hidden="false" customHeight="false" outlineLevel="0" collapsed="false">
      <c r="I1487" s="3"/>
    </row>
  </sheetData>
  <autoFilter ref="A1:Q633"/>
  <dataValidations count="1">
    <dataValidation allowBlank="true" errorStyle="stop" operator="between" showDropDown="false" showErrorMessage="true" showInputMessage="true" sqref="I2:L742 I743:I1487" type="list">
      <formula1>"Skis Alpin,Chaussures Alpin,Snowboard (avec fixation),Snowboard (planche nue),Chaussures Snowboard,Skis rando,Chaussures Rando"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9" min="8" style="5" width="11.43"/>
    <col collapsed="false" customWidth="true" hidden="false" outlineLevel="0" max="10" min="10" style="5" width="16.57"/>
    <col collapsed="false" customWidth="true" hidden="false" outlineLevel="0" max="15" min="11" style="5" width="11.43"/>
    <col collapsed="false" customWidth="true" hidden="false" outlineLevel="0" max="16" min="16" style="5" width="24.14"/>
    <col collapsed="false" customWidth="true" hidden="false" outlineLevel="0" max="18" min="17" style="5" width="11.43"/>
    <col collapsed="false" customWidth="true" hidden="false" outlineLevel="0" max="19" min="19" style="5" width="17"/>
  </cols>
  <sheetData>
    <row r="1" customFormat="false" ht="15" hidden="false" customHeight="false" outlineLevel="0" collapsed="false">
      <c r="A1" s="6" t="s">
        <v>20</v>
      </c>
      <c r="B1" s="7" t="s">
        <v>21</v>
      </c>
      <c r="C1" s="7" t="s">
        <v>22</v>
      </c>
      <c r="D1" s="8" t="s">
        <v>23</v>
      </c>
      <c r="E1" s="9" t="s">
        <v>24</v>
      </c>
      <c r="F1" s="7" t="s">
        <v>25</v>
      </c>
      <c r="H1" s="10" t="s">
        <v>0</v>
      </c>
      <c r="I1" s="10" t="s">
        <v>8</v>
      </c>
      <c r="J1" s="10" t="s">
        <v>9</v>
      </c>
      <c r="K1" s="10" t="s">
        <v>10</v>
      </c>
      <c r="L1" s="10" t="s">
        <v>11</v>
      </c>
      <c r="R1" s="5" t="n">
        <v>25</v>
      </c>
      <c r="S1" s="11" t="s">
        <v>26</v>
      </c>
    </row>
    <row r="2" customFormat="false" ht="15" hidden="false" customHeight="false" outlineLevel="0" collapsed="false">
      <c r="A2" s="12" t="s">
        <v>27</v>
      </c>
      <c r="B2" s="13" t="s">
        <v>28</v>
      </c>
      <c r="C2" s="14" t="s">
        <v>29</v>
      </c>
      <c r="D2" s="15" t="n">
        <v>156</v>
      </c>
      <c r="E2" s="16" t="n">
        <v>129</v>
      </c>
      <c r="F2" s="13" t="s">
        <v>30</v>
      </c>
      <c r="G2" s="15" t="n">
        <v>1</v>
      </c>
      <c r="H2" s="5" t="str">
        <f aca="false">SUBSTITUTE(A2,"MS","",1)</f>
        <v>52835</v>
      </c>
      <c r="I2" s="5" t="str">
        <f aca="false">VLOOKUP(F2,O:P,2,FALSE())</f>
        <v>Skis Alpin </v>
      </c>
      <c r="J2" s="5" t="str">
        <f aca="false">CONCATENATE(B2," ",C2)</f>
        <v>Rossignol pursuit</v>
      </c>
      <c r="K2" s="5" t="str">
        <f aca="false">IF(D2&lt;80,VLOOKUP(D2,R:S,2,FALSE()),CONCATENATE(D2," cm"))</f>
        <v>156 cm</v>
      </c>
      <c r="L2" s="17" t="n">
        <f aca="false">E2</f>
        <v>129</v>
      </c>
      <c r="O2" s="11" t="s">
        <v>30</v>
      </c>
      <c r="P2" s="5" t="s">
        <v>31</v>
      </c>
      <c r="R2" s="5" t="n">
        <v>26</v>
      </c>
      <c r="S2" s="11" t="s">
        <v>32</v>
      </c>
    </row>
    <row r="3" customFormat="false" ht="15" hidden="false" customHeight="false" outlineLevel="0" collapsed="false">
      <c r="A3" s="12" t="s">
        <v>33</v>
      </c>
      <c r="B3" s="13" t="s">
        <v>28</v>
      </c>
      <c r="C3" s="14" t="s">
        <v>29</v>
      </c>
      <c r="D3" s="15" t="n">
        <v>156</v>
      </c>
      <c r="E3" s="16" t="n">
        <v>129</v>
      </c>
      <c r="F3" s="13" t="s">
        <v>30</v>
      </c>
      <c r="G3" s="15" t="n">
        <v>1</v>
      </c>
      <c r="H3" s="5" t="str">
        <f aca="false">SUBSTITUTE(A3,"MS","",1)</f>
        <v>52836</v>
      </c>
      <c r="I3" s="5" t="str">
        <f aca="false">VLOOKUP(F3,O:P,2,FALSE())</f>
        <v>Skis Alpin </v>
      </c>
      <c r="J3" s="5" t="str">
        <f aca="false">CONCATENATE(B3," ",C3)</f>
        <v>Rossignol pursuit</v>
      </c>
      <c r="K3" s="5" t="str">
        <f aca="false">IF(D3&lt;80,VLOOKUP(D3,R:S,2,FALSE()),CONCATENATE(D3," cm"))</f>
        <v>156 cm</v>
      </c>
      <c r="L3" s="17" t="n">
        <f aca="false">E3</f>
        <v>129</v>
      </c>
      <c r="O3" s="11" t="s">
        <v>34</v>
      </c>
      <c r="P3" s="5" t="s">
        <v>31</v>
      </c>
      <c r="R3" s="5" t="n">
        <v>27</v>
      </c>
      <c r="S3" s="11" t="s">
        <v>35</v>
      </c>
    </row>
    <row r="4" customFormat="false" ht="15" hidden="false" customHeight="false" outlineLevel="0" collapsed="false">
      <c r="A4" s="12" t="s">
        <v>36</v>
      </c>
      <c r="B4" s="13" t="s">
        <v>28</v>
      </c>
      <c r="C4" s="14" t="s">
        <v>37</v>
      </c>
      <c r="D4" s="15" t="n">
        <v>167</v>
      </c>
      <c r="E4" s="16" t="n">
        <v>245</v>
      </c>
      <c r="F4" s="13" t="s">
        <v>30</v>
      </c>
      <c r="G4" s="15" t="n">
        <v>1</v>
      </c>
      <c r="H4" s="5" t="str">
        <f aca="false">SUBSTITUTE(A4,"MS","",1)</f>
        <v>52837</v>
      </c>
      <c r="I4" s="5" t="str">
        <f aca="false">VLOOKUP(F4,O:P,2,FALSE())</f>
        <v>Skis Alpin </v>
      </c>
      <c r="J4" s="5" t="str">
        <f aca="false">CONCATENATE(B4," ",C4)</f>
        <v>Rossignol exp 86</v>
      </c>
      <c r="K4" s="5" t="str">
        <f aca="false">IF(D4&lt;80,VLOOKUP(D4,R:S,2,FALSE()),CONCATENATE(D4," cm"))</f>
        <v>167 cm</v>
      </c>
      <c r="L4" s="17" t="n">
        <f aca="false">E4</f>
        <v>245</v>
      </c>
      <c r="O4" s="11" t="s">
        <v>38</v>
      </c>
      <c r="P4" s="5" t="s">
        <v>31</v>
      </c>
      <c r="R4" s="5" t="n">
        <v>28</v>
      </c>
      <c r="S4" s="11" t="s">
        <v>39</v>
      </c>
    </row>
    <row r="5" customFormat="false" ht="15" hidden="false" customHeight="false" outlineLevel="0" collapsed="false">
      <c r="A5" s="12" t="s">
        <v>40</v>
      </c>
      <c r="B5" s="13" t="s">
        <v>28</v>
      </c>
      <c r="C5" s="14" t="s">
        <v>41</v>
      </c>
      <c r="D5" s="15" t="n">
        <v>175</v>
      </c>
      <c r="E5" s="16" t="n">
        <v>245</v>
      </c>
      <c r="F5" s="13" t="s">
        <v>30</v>
      </c>
      <c r="G5" s="15" t="n">
        <v>1</v>
      </c>
      <c r="H5" s="5" t="str">
        <f aca="false">SUBSTITUTE(A5,"MS","",1)</f>
        <v>52838</v>
      </c>
      <c r="I5" s="5" t="str">
        <f aca="false">VLOOKUP(F5,O:P,2,FALSE())</f>
        <v>Skis Alpin </v>
      </c>
      <c r="J5" s="5" t="str">
        <f aca="false">CONCATENATE(B5," ",C5)</f>
        <v>Rossignol hero</v>
      </c>
      <c r="K5" s="5" t="str">
        <f aca="false">IF(D5&lt;80,VLOOKUP(D5,R:S,2,FALSE()),CONCATENATE(D5," cm"))</f>
        <v>175 cm</v>
      </c>
      <c r="L5" s="17" t="n">
        <f aca="false">E5</f>
        <v>245</v>
      </c>
      <c r="O5" s="11" t="s">
        <v>42</v>
      </c>
      <c r="P5" s="5" t="s">
        <v>31</v>
      </c>
      <c r="R5" s="5" t="n">
        <v>29</v>
      </c>
      <c r="S5" s="11" t="s">
        <v>43</v>
      </c>
    </row>
    <row r="6" customFormat="false" ht="15" hidden="false" customHeight="false" outlineLevel="0" collapsed="false">
      <c r="A6" s="12" t="s">
        <v>44</v>
      </c>
      <c r="B6" s="13" t="s">
        <v>28</v>
      </c>
      <c r="C6" s="14" t="s">
        <v>45</v>
      </c>
      <c r="D6" s="15" t="n">
        <v>171</v>
      </c>
      <c r="E6" s="16" t="n">
        <v>145</v>
      </c>
      <c r="F6" s="13" t="s">
        <v>30</v>
      </c>
      <c r="G6" s="15" t="n">
        <v>1</v>
      </c>
      <c r="H6" s="5" t="str">
        <f aca="false">SUBSTITUTE(A6,"MS","",1)</f>
        <v>52839</v>
      </c>
      <c r="I6" s="5" t="str">
        <f aca="false">VLOOKUP(F6,O:P,2,FALSE())</f>
        <v>Skis Alpin </v>
      </c>
      <c r="J6" s="5" t="str">
        <f aca="false">CONCATENATE(B6," ",C6)</f>
        <v>Rossignol forza</v>
      </c>
      <c r="K6" s="5" t="str">
        <f aca="false">IF(D6&lt;80,VLOOKUP(D6,R:S,2,FALSE()),CONCATENATE(D6," cm"))</f>
        <v>171 cm</v>
      </c>
      <c r="L6" s="17" t="n">
        <f aca="false">E6</f>
        <v>145</v>
      </c>
      <c r="O6" s="11" t="s">
        <v>46</v>
      </c>
      <c r="P6" s="5" t="s">
        <v>47</v>
      </c>
      <c r="R6" s="5" t="n">
        <v>30</v>
      </c>
      <c r="S6" s="11" t="s">
        <v>48</v>
      </c>
    </row>
    <row r="7" customFormat="false" ht="15" hidden="false" customHeight="false" outlineLevel="0" collapsed="false">
      <c r="A7" s="12" t="s">
        <v>49</v>
      </c>
      <c r="B7" s="13" t="s">
        <v>28</v>
      </c>
      <c r="C7" s="14" t="s">
        <v>50</v>
      </c>
      <c r="D7" s="15" t="n">
        <v>156</v>
      </c>
      <c r="E7" s="16" t="n">
        <v>145</v>
      </c>
      <c r="F7" s="13" t="s">
        <v>30</v>
      </c>
      <c r="G7" s="15" t="n">
        <v>1</v>
      </c>
      <c r="H7" s="5" t="str">
        <f aca="false">SUBSTITUTE(A7,"MS","",1)</f>
        <v>52840</v>
      </c>
      <c r="I7" s="5" t="str">
        <f aca="false">VLOOKUP(F7,O:P,2,FALSE())</f>
        <v>Skis Alpin </v>
      </c>
      <c r="J7" s="5" t="str">
        <f aca="false">CONCATENATE(B7," ",C7)</f>
        <v>Rossignol react</v>
      </c>
      <c r="K7" s="5" t="str">
        <f aca="false">IF(D7&lt;80,VLOOKUP(D7,R:S,2,FALSE()),CONCATENATE(D7," cm"))</f>
        <v>156 cm</v>
      </c>
      <c r="L7" s="17" t="n">
        <f aca="false">E7</f>
        <v>145</v>
      </c>
      <c r="O7" s="11" t="s">
        <v>51</v>
      </c>
      <c r="P7" s="5" t="s">
        <v>47</v>
      </c>
      <c r="R7" s="5" t="n">
        <v>31</v>
      </c>
      <c r="S7" s="11" t="s">
        <v>52</v>
      </c>
    </row>
    <row r="8" customFormat="false" ht="15" hidden="false" customHeight="false" outlineLevel="0" collapsed="false">
      <c r="A8" s="12" t="s">
        <v>53</v>
      </c>
      <c r="B8" s="13" t="s">
        <v>28</v>
      </c>
      <c r="C8" s="14" t="s">
        <v>50</v>
      </c>
      <c r="D8" s="15" t="n">
        <v>163</v>
      </c>
      <c r="E8" s="16" t="n">
        <v>125</v>
      </c>
      <c r="F8" s="13" t="s">
        <v>30</v>
      </c>
      <c r="G8" s="15" t="n">
        <v>1</v>
      </c>
      <c r="H8" s="5" t="str">
        <f aca="false">SUBSTITUTE(A8,"MS","",1)</f>
        <v>52841</v>
      </c>
      <c r="I8" s="5" t="str">
        <f aca="false">VLOOKUP(F8,O:P,2,FALSE())</f>
        <v>Skis Alpin </v>
      </c>
      <c r="J8" s="5" t="str">
        <f aca="false">CONCATENATE(B8," ",C8)</f>
        <v>Rossignol react</v>
      </c>
      <c r="K8" s="5" t="str">
        <f aca="false">IF(D8&lt;80,VLOOKUP(D8,R:S,2,FALSE()),CONCATENATE(D8," cm"))</f>
        <v>163 cm</v>
      </c>
      <c r="L8" s="17" t="n">
        <f aca="false">E8</f>
        <v>125</v>
      </c>
      <c r="O8" s="5" t="s">
        <v>54</v>
      </c>
      <c r="P8" s="5" t="s">
        <v>55</v>
      </c>
      <c r="R8" s="5" t="n">
        <v>32</v>
      </c>
      <c r="S8" s="11" t="s">
        <v>56</v>
      </c>
    </row>
    <row r="9" customFormat="false" ht="15" hidden="false" customHeight="false" outlineLevel="0" collapsed="false">
      <c r="A9" s="12" t="s">
        <v>57</v>
      </c>
      <c r="B9" s="13" t="s">
        <v>28</v>
      </c>
      <c r="C9" s="14" t="s">
        <v>45</v>
      </c>
      <c r="D9" s="15" t="n">
        <v>164</v>
      </c>
      <c r="E9" s="16" t="n">
        <v>145</v>
      </c>
      <c r="F9" s="13" t="s">
        <v>30</v>
      </c>
      <c r="G9" s="15" t="n">
        <v>1</v>
      </c>
      <c r="H9" s="5" t="str">
        <f aca="false">SUBSTITUTE(A9,"MS","",1)</f>
        <v>52842</v>
      </c>
      <c r="I9" s="5" t="str">
        <f aca="false">VLOOKUP(F9,O:P,2,FALSE())</f>
        <v>Skis Alpin </v>
      </c>
      <c r="J9" s="5" t="str">
        <f aca="false">CONCATENATE(B9," ",C9)</f>
        <v>Rossignol forza</v>
      </c>
      <c r="K9" s="5" t="str">
        <f aca="false">IF(D9&lt;80,VLOOKUP(D9,R:S,2,FALSE()),CONCATENATE(D9," cm"))</f>
        <v>164 cm</v>
      </c>
      <c r="L9" s="17" t="n">
        <f aca="false">E9</f>
        <v>145</v>
      </c>
      <c r="O9" s="5" t="s">
        <v>58</v>
      </c>
      <c r="P9" s="5" t="s">
        <v>59</v>
      </c>
      <c r="R9" s="5" t="n">
        <v>33</v>
      </c>
      <c r="S9" s="5" t="s">
        <v>60</v>
      </c>
    </row>
    <row r="10" customFormat="false" ht="15" hidden="false" customHeight="false" outlineLevel="0" collapsed="false">
      <c r="A10" s="12" t="s">
        <v>61</v>
      </c>
      <c r="B10" s="13" t="s">
        <v>28</v>
      </c>
      <c r="C10" s="14" t="s">
        <v>62</v>
      </c>
      <c r="D10" s="15" t="n">
        <v>155</v>
      </c>
      <c r="E10" s="16" t="n">
        <v>149</v>
      </c>
      <c r="F10" s="13" t="s">
        <v>30</v>
      </c>
      <c r="G10" s="15" t="n">
        <v>1</v>
      </c>
      <c r="H10" s="5" t="str">
        <f aca="false">SUBSTITUTE(A10,"MS","",1)</f>
        <v>52843</v>
      </c>
      <c r="I10" s="5" t="str">
        <f aca="false">VLOOKUP(F10,O:P,2,FALSE())</f>
        <v>Skis Alpin </v>
      </c>
      <c r="J10" s="5" t="str">
        <f aca="false">CONCATENATE(B10," ",C10)</f>
        <v>Rossignol wc8</v>
      </c>
      <c r="K10" s="5" t="str">
        <f aca="false">IF(D10&lt;80,VLOOKUP(D10,R:S,2,FALSE()),CONCATENATE(D10," cm"))</f>
        <v>155 cm</v>
      </c>
      <c r="L10" s="17" t="n">
        <f aca="false">E10</f>
        <v>149</v>
      </c>
      <c r="O10" s="5" t="s">
        <v>63</v>
      </c>
      <c r="P10" s="5" t="s">
        <v>64</v>
      </c>
      <c r="R10" s="5" t="n">
        <v>34</v>
      </c>
      <c r="S10" s="5" t="s">
        <v>65</v>
      </c>
    </row>
    <row r="11" customFormat="false" ht="15" hidden="false" customHeight="false" outlineLevel="0" collapsed="false">
      <c r="A11" s="12" t="s">
        <v>66</v>
      </c>
      <c r="B11" s="13" t="s">
        <v>28</v>
      </c>
      <c r="C11" s="14" t="s">
        <v>62</v>
      </c>
      <c r="D11" s="15" t="n">
        <v>155</v>
      </c>
      <c r="E11" s="16" t="n">
        <v>149</v>
      </c>
      <c r="F11" s="13" t="s">
        <v>30</v>
      </c>
      <c r="G11" s="15" t="n">
        <v>1</v>
      </c>
      <c r="H11" s="5" t="str">
        <f aca="false">SUBSTITUTE(A11,"MS","",1)</f>
        <v>52844</v>
      </c>
      <c r="I11" s="5" t="str">
        <f aca="false">VLOOKUP(F11,O:P,2,FALSE())</f>
        <v>Skis Alpin </v>
      </c>
      <c r="J11" s="5" t="str">
        <f aca="false">CONCATENATE(B11," ",C11)</f>
        <v>Rossignol wc8</v>
      </c>
      <c r="K11" s="5" t="str">
        <f aca="false">IF(D11&lt;80,VLOOKUP(D11,R:S,2,FALSE()),CONCATENATE(D11," cm"))</f>
        <v>155 cm</v>
      </c>
      <c r="L11" s="17" t="n">
        <f aca="false">E11</f>
        <v>149</v>
      </c>
      <c r="R11" s="5" t="n">
        <v>35</v>
      </c>
      <c r="S11" s="5" t="s">
        <v>67</v>
      </c>
    </row>
    <row r="12" customFormat="false" ht="15" hidden="false" customHeight="false" outlineLevel="0" collapsed="false">
      <c r="A12" s="12" t="s">
        <v>68</v>
      </c>
      <c r="B12" s="13" t="s">
        <v>28</v>
      </c>
      <c r="C12" s="14" t="s">
        <v>29</v>
      </c>
      <c r="D12" s="15" t="n">
        <v>163</v>
      </c>
      <c r="E12" s="16" t="n">
        <v>125</v>
      </c>
      <c r="F12" s="13" t="s">
        <v>30</v>
      </c>
      <c r="G12" s="15" t="n">
        <v>1</v>
      </c>
      <c r="H12" s="5" t="str">
        <f aca="false">SUBSTITUTE(A12,"MS","",1)</f>
        <v>52845</v>
      </c>
      <c r="I12" s="5" t="str">
        <f aca="false">VLOOKUP(F12,O:P,2,FALSE())</f>
        <v>Skis Alpin </v>
      </c>
      <c r="J12" s="5" t="str">
        <f aca="false">CONCATENATE(B12," ",C12)</f>
        <v>Rossignol pursuit</v>
      </c>
      <c r="K12" s="5" t="str">
        <f aca="false">IF(D12&lt;80,VLOOKUP(D12,R:S,2,FALSE()),CONCATENATE(D12," cm"))</f>
        <v>163 cm</v>
      </c>
      <c r="L12" s="17" t="n">
        <f aca="false">E12</f>
        <v>125</v>
      </c>
      <c r="R12" s="5" t="n">
        <v>36</v>
      </c>
      <c r="S12" s="5" t="s">
        <v>69</v>
      </c>
    </row>
    <row r="13" customFormat="false" ht="15" hidden="false" customHeight="false" outlineLevel="0" collapsed="false">
      <c r="A13" s="12" t="s">
        <v>70</v>
      </c>
      <c r="B13" s="13" t="s">
        <v>28</v>
      </c>
      <c r="C13" s="14" t="s">
        <v>29</v>
      </c>
      <c r="D13" s="15" t="n">
        <v>170</v>
      </c>
      <c r="E13" s="16" t="n">
        <v>125</v>
      </c>
      <c r="F13" s="13" t="s">
        <v>30</v>
      </c>
      <c r="G13" s="15" t="n">
        <v>1</v>
      </c>
      <c r="H13" s="5" t="str">
        <f aca="false">SUBSTITUTE(A13,"MS","",1)</f>
        <v>52846</v>
      </c>
      <c r="I13" s="5" t="str">
        <f aca="false">VLOOKUP(F13,O:P,2,FALSE())</f>
        <v>Skis Alpin </v>
      </c>
      <c r="J13" s="5" t="str">
        <f aca="false">CONCATENATE(B13," ",C13)</f>
        <v>Rossignol pursuit</v>
      </c>
      <c r="K13" s="5" t="str">
        <f aca="false">IF(D13&lt;80,VLOOKUP(D13,R:S,2,FALSE()),CONCATENATE(D13," cm"))</f>
        <v>170 cm</v>
      </c>
      <c r="L13" s="17" t="n">
        <f aca="false">E13</f>
        <v>125</v>
      </c>
      <c r="R13" s="5" t="n">
        <v>37</v>
      </c>
      <c r="S13" s="5" t="s">
        <v>71</v>
      </c>
    </row>
    <row r="14" customFormat="false" ht="15" hidden="false" customHeight="false" outlineLevel="0" collapsed="false">
      <c r="A14" s="12" t="s">
        <v>72</v>
      </c>
      <c r="B14" s="13" t="s">
        <v>73</v>
      </c>
      <c r="C14" s="14" t="s">
        <v>74</v>
      </c>
      <c r="D14" s="15" t="n">
        <v>177</v>
      </c>
      <c r="E14" s="16" t="n">
        <v>145</v>
      </c>
      <c r="F14" s="13" t="s">
        <v>30</v>
      </c>
      <c r="G14" s="15" t="n">
        <v>1</v>
      </c>
      <c r="H14" s="5" t="str">
        <f aca="false">SUBSTITUTE(A14,"MS","",1)</f>
        <v>52847</v>
      </c>
      <c r="I14" s="5" t="str">
        <f aca="false">VLOOKUP(F14,O:P,2,FALSE())</f>
        <v>Skis Alpin </v>
      </c>
      <c r="J14" s="5" t="str">
        <f aca="false">CONCATENATE(B14," ",C14)</f>
        <v>volkl rtm</v>
      </c>
      <c r="K14" s="5" t="str">
        <f aca="false">IF(D14&lt;80,VLOOKUP(D14,R:S,2,FALSE()),CONCATENATE(D14," cm"))</f>
        <v>177 cm</v>
      </c>
      <c r="L14" s="17" t="n">
        <f aca="false">E14</f>
        <v>145</v>
      </c>
      <c r="R14" s="5" t="n">
        <v>38</v>
      </c>
      <c r="S14" s="5" t="s">
        <v>75</v>
      </c>
    </row>
    <row r="15" customFormat="false" ht="15" hidden="false" customHeight="false" outlineLevel="0" collapsed="false">
      <c r="A15" s="12" t="s">
        <v>76</v>
      </c>
      <c r="B15" s="13" t="s">
        <v>73</v>
      </c>
      <c r="C15" s="14" t="s">
        <v>77</v>
      </c>
      <c r="D15" s="15" t="n">
        <v>161</v>
      </c>
      <c r="E15" s="16" t="n">
        <v>145</v>
      </c>
      <c r="F15" s="13" t="s">
        <v>30</v>
      </c>
      <c r="G15" s="15" t="n">
        <v>1</v>
      </c>
      <c r="H15" s="5" t="str">
        <f aca="false">SUBSTITUTE(A15,"MS","",1)</f>
        <v>52848</v>
      </c>
      <c r="I15" s="5" t="str">
        <f aca="false">VLOOKUP(F15,O:P,2,FALSE())</f>
        <v>Skis Alpin </v>
      </c>
      <c r="J15" s="5" t="str">
        <f aca="false">CONCATENATE(B15," ",C15)</f>
        <v>volkl deacon</v>
      </c>
      <c r="K15" s="5" t="str">
        <f aca="false">IF(D15&lt;80,VLOOKUP(D15,R:S,2,FALSE()),CONCATENATE(D15," cm"))</f>
        <v>161 cm</v>
      </c>
      <c r="L15" s="17" t="n">
        <f aca="false">E15</f>
        <v>145</v>
      </c>
      <c r="R15" s="5" t="n">
        <v>39</v>
      </c>
      <c r="S15" s="5" t="s">
        <v>78</v>
      </c>
    </row>
    <row r="16" customFormat="false" ht="15" hidden="false" customHeight="false" outlineLevel="0" collapsed="false">
      <c r="A16" s="12" t="s">
        <v>79</v>
      </c>
      <c r="B16" s="13" t="s">
        <v>73</v>
      </c>
      <c r="C16" s="14" t="s">
        <v>77</v>
      </c>
      <c r="D16" s="15" t="n">
        <v>161</v>
      </c>
      <c r="E16" s="16" t="n">
        <v>145</v>
      </c>
      <c r="F16" s="13" t="s">
        <v>30</v>
      </c>
      <c r="G16" s="15" t="n">
        <v>1</v>
      </c>
      <c r="H16" s="5" t="str">
        <f aca="false">SUBSTITUTE(A16,"MS","",1)</f>
        <v>52849</v>
      </c>
      <c r="I16" s="5" t="str">
        <f aca="false">VLOOKUP(F16,O:P,2,FALSE())</f>
        <v>Skis Alpin </v>
      </c>
      <c r="J16" s="5" t="str">
        <f aca="false">CONCATENATE(B16," ",C16)</f>
        <v>volkl deacon</v>
      </c>
      <c r="K16" s="5" t="str">
        <f aca="false">IF(D16&lt;80,VLOOKUP(D16,R:S,2,FALSE()),CONCATENATE(D16," cm"))</f>
        <v>161 cm</v>
      </c>
      <c r="L16" s="17" t="n">
        <f aca="false">E16</f>
        <v>145</v>
      </c>
      <c r="R16" s="5" t="n">
        <v>40</v>
      </c>
      <c r="S16" s="5" t="s">
        <v>80</v>
      </c>
    </row>
    <row r="17" customFormat="false" ht="15" hidden="false" customHeight="false" outlineLevel="0" collapsed="false">
      <c r="A17" s="12" t="s">
        <v>81</v>
      </c>
      <c r="B17" s="13" t="s">
        <v>73</v>
      </c>
      <c r="C17" s="14" t="s">
        <v>77</v>
      </c>
      <c r="D17" s="15" t="n">
        <v>175</v>
      </c>
      <c r="E17" s="16" t="n">
        <v>145</v>
      </c>
      <c r="F17" s="13" t="s">
        <v>30</v>
      </c>
      <c r="G17" s="15" t="n">
        <v>1</v>
      </c>
      <c r="H17" s="5" t="str">
        <f aca="false">SUBSTITUTE(A17,"MS","",1)</f>
        <v>52850</v>
      </c>
      <c r="I17" s="5" t="str">
        <f aca="false">VLOOKUP(F17,O:P,2,FALSE())</f>
        <v>Skis Alpin </v>
      </c>
      <c r="J17" s="5" t="str">
        <f aca="false">CONCATENATE(B17," ",C17)</f>
        <v>volkl deacon</v>
      </c>
      <c r="K17" s="5" t="str">
        <f aca="false">IF(D17&lt;80,VLOOKUP(D17,R:S,2,FALSE()),CONCATENATE(D17," cm"))</f>
        <v>175 cm</v>
      </c>
      <c r="L17" s="17" t="n">
        <f aca="false">E17</f>
        <v>145</v>
      </c>
      <c r="R17" s="5" t="n">
        <v>41</v>
      </c>
      <c r="S17" s="5" t="s">
        <v>82</v>
      </c>
    </row>
    <row r="18" customFormat="false" ht="15" hidden="false" customHeight="false" outlineLevel="0" collapsed="false">
      <c r="A18" s="12" t="s">
        <v>83</v>
      </c>
      <c r="B18" s="13" t="s">
        <v>73</v>
      </c>
      <c r="C18" s="14" t="s">
        <v>77</v>
      </c>
      <c r="D18" s="15" t="n">
        <v>175</v>
      </c>
      <c r="E18" s="16" t="n">
        <v>145</v>
      </c>
      <c r="F18" s="13" t="s">
        <v>30</v>
      </c>
      <c r="G18" s="15" t="n">
        <v>1</v>
      </c>
      <c r="H18" s="5" t="str">
        <f aca="false">SUBSTITUTE(A18,"MS","",1)</f>
        <v>52851</v>
      </c>
      <c r="I18" s="5" t="str">
        <f aca="false">VLOOKUP(F18,O:P,2,FALSE())</f>
        <v>Skis Alpin </v>
      </c>
      <c r="J18" s="5" t="str">
        <f aca="false">CONCATENATE(B18," ",C18)</f>
        <v>volkl deacon</v>
      </c>
      <c r="K18" s="5" t="str">
        <f aca="false">IF(D18&lt;80,VLOOKUP(D18,R:S,2,FALSE()),CONCATENATE(D18," cm"))</f>
        <v>175 cm</v>
      </c>
      <c r="L18" s="17" t="n">
        <f aca="false">E18</f>
        <v>145</v>
      </c>
      <c r="R18" s="5" t="n">
        <v>42</v>
      </c>
      <c r="S18" s="5" t="s">
        <v>84</v>
      </c>
    </row>
    <row r="19" customFormat="false" ht="15" hidden="false" customHeight="false" outlineLevel="0" collapsed="false">
      <c r="A19" s="12" t="s">
        <v>85</v>
      </c>
      <c r="B19" s="13" t="s">
        <v>73</v>
      </c>
      <c r="C19" s="14" t="s">
        <v>77</v>
      </c>
      <c r="D19" s="15" t="n">
        <v>172</v>
      </c>
      <c r="E19" s="16" t="n">
        <v>145</v>
      </c>
      <c r="F19" s="13" t="s">
        <v>30</v>
      </c>
      <c r="G19" s="15" t="n">
        <v>1</v>
      </c>
      <c r="H19" s="5" t="str">
        <f aca="false">SUBSTITUTE(A19,"MS","",1)</f>
        <v>52852</v>
      </c>
      <c r="I19" s="5" t="str">
        <f aca="false">VLOOKUP(F19,O:P,2,FALSE())</f>
        <v>Skis Alpin </v>
      </c>
      <c r="J19" s="5" t="str">
        <f aca="false">CONCATENATE(B19," ",C19)</f>
        <v>volkl deacon</v>
      </c>
      <c r="K19" s="5" t="str">
        <f aca="false">IF(D19&lt;80,VLOOKUP(D19,R:S,2,FALSE()),CONCATENATE(D19," cm"))</f>
        <v>172 cm</v>
      </c>
      <c r="L19" s="17" t="n">
        <f aca="false">E19</f>
        <v>145</v>
      </c>
      <c r="R19" s="5" t="n">
        <v>42.5</v>
      </c>
      <c r="S19" s="5" t="s">
        <v>86</v>
      </c>
    </row>
    <row r="20" customFormat="false" ht="15" hidden="false" customHeight="false" outlineLevel="0" collapsed="false">
      <c r="A20" s="12" t="s">
        <v>87</v>
      </c>
      <c r="B20" s="13" t="s">
        <v>73</v>
      </c>
      <c r="C20" s="14" t="s">
        <v>77</v>
      </c>
      <c r="D20" s="15" t="n">
        <v>165</v>
      </c>
      <c r="E20" s="16" t="n">
        <v>145</v>
      </c>
      <c r="F20" s="13" t="s">
        <v>30</v>
      </c>
      <c r="G20" s="15" t="n">
        <v>1</v>
      </c>
      <c r="H20" s="5" t="str">
        <f aca="false">SUBSTITUTE(A20,"MS","",1)</f>
        <v>52853</v>
      </c>
      <c r="I20" s="5" t="str">
        <f aca="false">VLOOKUP(F20,O:P,2,FALSE())</f>
        <v>Skis Alpin </v>
      </c>
      <c r="J20" s="5" t="str">
        <f aca="false">CONCATENATE(B20," ",C20)</f>
        <v>volkl deacon</v>
      </c>
      <c r="K20" s="5" t="str">
        <f aca="false">IF(D20&lt;80,VLOOKUP(D20,R:S,2,FALSE()),CONCATENATE(D20," cm"))</f>
        <v>165 cm</v>
      </c>
      <c r="L20" s="17" t="n">
        <f aca="false">E20</f>
        <v>145</v>
      </c>
      <c r="R20" s="5" t="n">
        <v>43</v>
      </c>
      <c r="S20" s="5" t="s">
        <v>88</v>
      </c>
    </row>
    <row r="21" customFormat="false" ht="15" hidden="false" customHeight="false" outlineLevel="0" collapsed="false">
      <c r="A21" s="12" t="s">
        <v>89</v>
      </c>
      <c r="B21" s="13" t="s">
        <v>28</v>
      </c>
      <c r="C21" s="14" t="s">
        <v>41</v>
      </c>
      <c r="D21" s="15" t="n">
        <v>167</v>
      </c>
      <c r="E21" s="16" t="n">
        <v>245</v>
      </c>
      <c r="F21" s="13" t="s">
        <v>30</v>
      </c>
      <c r="G21" s="15" t="n">
        <v>1</v>
      </c>
      <c r="H21" s="5" t="str">
        <f aca="false">SUBSTITUTE(A21,"MS","",1)</f>
        <v>52854</v>
      </c>
      <c r="I21" s="5" t="str">
        <f aca="false">VLOOKUP(F21,O:P,2,FALSE())</f>
        <v>Skis Alpin </v>
      </c>
      <c r="J21" s="5" t="str">
        <f aca="false">CONCATENATE(B21," ",C21)</f>
        <v>Rossignol hero</v>
      </c>
      <c r="K21" s="5" t="str">
        <f aca="false">IF(D21&lt;80,VLOOKUP(D21,R:S,2,FALSE()),CONCATENATE(D21," cm"))</f>
        <v>167 cm</v>
      </c>
      <c r="L21" s="17" t="n">
        <f aca="false">E21</f>
        <v>245</v>
      </c>
      <c r="R21" s="5" t="n">
        <v>44</v>
      </c>
      <c r="S21" s="5" t="s">
        <v>90</v>
      </c>
    </row>
    <row r="22" customFormat="false" ht="15" hidden="false" customHeight="false" outlineLevel="0" collapsed="false">
      <c r="A22" s="12" t="s">
        <v>91</v>
      </c>
      <c r="B22" s="13" t="s">
        <v>28</v>
      </c>
      <c r="C22" s="14" t="s">
        <v>29</v>
      </c>
      <c r="D22" s="15" t="n">
        <v>170</v>
      </c>
      <c r="E22" s="16" t="n">
        <v>149</v>
      </c>
      <c r="F22" s="13" t="s">
        <v>30</v>
      </c>
      <c r="G22" s="15" t="n">
        <v>1</v>
      </c>
      <c r="H22" s="5" t="str">
        <f aca="false">SUBSTITUTE(A22,"MS","",1)</f>
        <v>52855</v>
      </c>
      <c r="I22" s="5" t="str">
        <f aca="false">VLOOKUP(F22,O:P,2,FALSE())</f>
        <v>Skis Alpin </v>
      </c>
      <c r="J22" s="5" t="str">
        <f aca="false">CONCATENATE(B22," ",C22)</f>
        <v>Rossignol pursuit</v>
      </c>
      <c r="K22" s="5" t="str">
        <f aca="false">IF(D22&lt;80,VLOOKUP(D22,R:S,2,FALSE()),CONCATENATE(D22," cm"))</f>
        <v>170 cm</v>
      </c>
      <c r="L22" s="17" t="n">
        <f aca="false">E22</f>
        <v>149</v>
      </c>
      <c r="R22" s="5" t="n">
        <v>44.5</v>
      </c>
      <c r="S22" s="5" t="s">
        <v>92</v>
      </c>
    </row>
    <row r="23" customFormat="false" ht="15" hidden="false" customHeight="false" outlineLevel="0" collapsed="false">
      <c r="A23" s="12" t="s">
        <v>93</v>
      </c>
      <c r="B23" s="13" t="s">
        <v>28</v>
      </c>
      <c r="C23" s="14" t="s">
        <v>50</v>
      </c>
      <c r="D23" s="15" t="n">
        <v>163</v>
      </c>
      <c r="E23" s="16" t="n">
        <v>145</v>
      </c>
      <c r="F23" s="13" t="s">
        <v>30</v>
      </c>
      <c r="G23" s="15" t="n">
        <v>1</v>
      </c>
      <c r="H23" s="5" t="str">
        <f aca="false">SUBSTITUTE(A23,"MS","",1)</f>
        <v>52856</v>
      </c>
      <c r="I23" s="5" t="str">
        <f aca="false">VLOOKUP(F23,O:P,2,FALSE())</f>
        <v>Skis Alpin </v>
      </c>
      <c r="J23" s="5" t="str">
        <f aca="false">CONCATENATE(B23," ",C23)</f>
        <v>Rossignol react</v>
      </c>
      <c r="K23" s="5" t="str">
        <f aca="false">IF(D23&lt;80,VLOOKUP(D23,R:S,2,FALSE()),CONCATENATE(D23," cm"))</f>
        <v>163 cm</v>
      </c>
      <c r="L23" s="17" t="n">
        <f aca="false">E23</f>
        <v>145</v>
      </c>
      <c r="R23" s="5" t="n">
        <v>45</v>
      </c>
      <c r="S23" s="5" t="s">
        <v>94</v>
      </c>
    </row>
    <row r="24" customFormat="false" ht="15" hidden="false" customHeight="false" outlineLevel="0" collapsed="false">
      <c r="A24" s="12" t="s">
        <v>95</v>
      </c>
      <c r="B24" s="13" t="s">
        <v>28</v>
      </c>
      <c r="C24" s="14" t="s">
        <v>96</v>
      </c>
      <c r="D24" s="15" t="n">
        <v>166</v>
      </c>
      <c r="E24" s="16" t="n">
        <v>129</v>
      </c>
      <c r="F24" s="13" t="s">
        <v>30</v>
      </c>
      <c r="G24" s="15" t="n">
        <v>1</v>
      </c>
      <c r="H24" s="5" t="str">
        <f aca="false">SUBSTITUTE(A24,"MS","",1)</f>
        <v>52857</v>
      </c>
      <c r="I24" s="5" t="str">
        <f aca="false">VLOOKUP(F24,O:P,2,FALSE())</f>
        <v>Skis Alpin </v>
      </c>
      <c r="J24" s="5" t="str">
        <f aca="false">CONCATENATE(B24," ",C24)</f>
        <v>Rossignol exp 80</v>
      </c>
      <c r="K24" s="5" t="str">
        <f aca="false">IF(D24&lt;80,VLOOKUP(D24,R:S,2,FALSE()),CONCATENATE(D24," cm"))</f>
        <v>166 cm</v>
      </c>
      <c r="L24" s="17" t="n">
        <f aca="false">E24</f>
        <v>129</v>
      </c>
      <c r="R24" s="5" t="n">
        <v>46</v>
      </c>
      <c r="S24" s="5" t="s">
        <v>97</v>
      </c>
    </row>
    <row r="25" customFormat="false" ht="15" hidden="false" customHeight="false" outlineLevel="0" collapsed="false">
      <c r="A25" s="12" t="s">
        <v>98</v>
      </c>
      <c r="B25" s="13" t="s">
        <v>28</v>
      </c>
      <c r="C25" s="14" t="s">
        <v>96</v>
      </c>
      <c r="D25" s="15" t="n">
        <v>158</v>
      </c>
      <c r="E25" s="16" t="n">
        <v>129</v>
      </c>
      <c r="F25" s="13" t="s">
        <v>30</v>
      </c>
      <c r="G25" s="15" t="n">
        <v>1</v>
      </c>
      <c r="H25" s="5" t="str">
        <f aca="false">SUBSTITUTE(A25,"MS","",1)</f>
        <v>52858</v>
      </c>
      <c r="I25" s="5" t="str">
        <f aca="false">VLOOKUP(F25,O:P,2,FALSE())</f>
        <v>Skis Alpin </v>
      </c>
      <c r="J25" s="5" t="str">
        <f aca="false">CONCATENATE(B25," ",C25)</f>
        <v>Rossignol exp 80</v>
      </c>
      <c r="K25" s="5" t="str">
        <f aca="false">IF(D25&lt;80,VLOOKUP(D25,R:S,2,FALSE()),CONCATENATE(D25," cm"))</f>
        <v>158 cm</v>
      </c>
      <c r="L25" s="17" t="n">
        <f aca="false">E25</f>
        <v>129</v>
      </c>
      <c r="R25" s="5" t="n">
        <v>47</v>
      </c>
      <c r="S25" s="5" t="s">
        <v>99</v>
      </c>
    </row>
    <row r="26" customFormat="false" ht="15" hidden="false" customHeight="false" outlineLevel="0" collapsed="false">
      <c r="A26" s="12" t="s">
        <v>100</v>
      </c>
      <c r="B26" s="13" t="s">
        <v>28</v>
      </c>
      <c r="C26" s="14" t="s">
        <v>29</v>
      </c>
      <c r="D26" s="15" t="n">
        <v>177</v>
      </c>
      <c r="E26" s="16" t="n">
        <v>129</v>
      </c>
      <c r="F26" s="13" t="s">
        <v>30</v>
      </c>
      <c r="G26" s="15" t="n">
        <v>1</v>
      </c>
      <c r="H26" s="5" t="str">
        <f aca="false">SUBSTITUTE(A26,"MS","",1)</f>
        <v>52859</v>
      </c>
      <c r="I26" s="5" t="str">
        <f aca="false">VLOOKUP(F26,O:P,2,FALSE())</f>
        <v>Skis Alpin </v>
      </c>
      <c r="J26" s="5" t="str">
        <f aca="false">CONCATENATE(B26," ",C26)</f>
        <v>Rossignol pursuit</v>
      </c>
      <c r="K26" s="5" t="str">
        <f aca="false">IF(D26&lt;80,VLOOKUP(D26,R:S,2,FALSE()),CONCATENATE(D26," cm"))</f>
        <v>177 cm</v>
      </c>
      <c r="L26" s="17" t="n">
        <f aca="false">E26</f>
        <v>129</v>
      </c>
      <c r="R26" s="5" t="n">
        <v>47.5</v>
      </c>
      <c r="S26" s="5" t="s">
        <v>101</v>
      </c>
    </row>
    <row r="27" customFormat="false" ht="15" hidden="false" customHeight="false" outlineLevel="0" collapsed="false">
      <c r="A27" s="12" t="s">
        <v>102</v>
      </c>
      <c r="B27" s="13" t="s">
        <v>28</v>
      </c>
      <c r="C27" s="14" t="s">
        <v>50</v>
      </c>
      <c r="D27" s="15" t="n">
        <v>156</v>
      </c>
      <c r="E27" s="16" t="n">
        <v>129</v>
      </c>
      <c r="F27" s="13" t="s">
        <v>30</v>
      </c>
      <c r="G27" s="15" t="n">
        <v>1</v>
      </c>
      <c r="H27" s="5" t="str">
        <f aca="false">SUBSTITUTE(A27,"MS","",1)</f>
        <v>52860</v>
      </c>
      <c r="I27" s="5" t="str">
        <f aca="false">VLOOKUP(F27,O:P,2,FALSE())</f>
        <v>Skis Alpin </v>
      </c>
      <c r="J27" s="5" t="str">
        <f aca="false">CONCATENATE(B27," ",C27)</f>
        <v>Rossignol react</v>
      </c>
      <c r="K27" s="5" t="str">
        <f aca="false">IF(D27&lt;80,VLOOKUP(D27,R:S,2,FALSE()),CONCATENATE(D27," cm"))</f>
        <v>156 cm</v>
      </c>
      <c r="L27" s="17" t="n">
        <f aca="false">E27</f>
        <v>129</v>
      </c>
      <c r="R27" s="5" t="n">
        <v>48</v>
      </c>
      <c r="S27" s="5" t="s">
        <v>103</v>
      </c>
    </row>
    <row r="28" customFormat="false" ht="15" hidden="false" customHeight="false" outlineLevel="0" collapsed="false">
      <c r="A28" s="12" t="s">
        <v>104</v>
      </c>
      <c r="B28" s="13" t="s">
        <v>105</v>
      </c>
      <c r="C28" s="14" t="s">
        <v>106</v>
      </c>
      <c r="D28" s="15" t="n">
        <v>179</v>
      </c>
      <c r="E28" s="16" t="n">
        <v>149</v>
      </c>
      <c r="F28" s="13" t="s">
        <v>30</v>
      </c>
      <c r="G28" s="15" t="n">
        <v>1</v>
      </c>
      <c r="H28" s="5" t="str">
        <f aca="false">SUBSTITUTE(A28,"MS","",1)</f>
        <v>52861</v>
      </c>
      <c r="I28" s="5" t="str">
        <f aca="false">VLOOKUP(F28,O:P,2,FALSE())</f>
        <v>Skis Alpin </v>
      </c>
      <c r="J28" s="5" t="str">
        <f aca="false">CONCATENATE(B28," ",C28)</f>
        <v>dynastar speed 4x4</v>
      </c>
      <c r="K28" s="5" t="str">
        <f aca="false">IF(D28&lt;80,VLOOKUP(D28,R:S,2,FALSE()),CONCATENATE(D28," cm"))</f>
        <v>179 cm</v>
      </c>
      <c r="L28" s="17" t="n">
        <f aca="false">E28</f>
        <v>149</v>
      </c>
    </row>
    <row r="29" customFormat="false" ht="15" hidden="false" customHeight="false" outlineLevel="0" collapsed="false">
      <c r="A29" s="12" t="s">
        <v>107</v>
      </c>
      <c r="B29" s="13" t="s">
        <v>105</v>
      </c>
      <c r="C29" s="14" t="s">
        <v>106</v>
      </c>
      <c r="D29" s="15" t="n">
        <v>164</v>
      </c>
      <c r="E29" s="16" t="n">
        <v>169</v>
      </c>
      <c r="F29" s="13" t="s">
        <v>30</v>
      </c>
      <c r="G29" s="15" t="n">
        <v>1</v>
      </c>
      <c r="H29" s="5" t="str">
        <f aca="false">SUBSTITUTE(A29,"MS","",1)</f>
        <v>52862</v>
      </c>
      <c r="I29" s="5" t="str">
        <f aca="false">VLOOKUP(F29,O:P,2,FALSE())</f>
        <v>Skis Alpin </v>
      </c>
      <c r="J29" s="5" t="str">
        <f aca="false">CONCATENATE(B29," ",C29)</f>
        <v>dynastar speed 4x4</v>
      </c>
      <c r="K29" s="5" t="str">
        <f aca="false">IF(D29&lt;80,VLOOKUP(D29,R:S,2,FALSE()),CONCATENATE(D29," cm"))</f>
        <v>164 cm</v>
      </c>
      <c r="L29" s="17" t="n">
        <f aca="false">E29</f>
        <v>169</v>
      </c>
    </row>
    <row r="30" customFormat="false" ht="15" hidden="false" customHeight="false" outlineLevel="0" collapsed="false">
      <c r="A30" s="12" t="s">
        <v>108</v>
      </c>
      <c r="B30" s="13" t="s">
        <v>105</v>
      </c>
      <c r="C30" s="14" t="s">
        <v>109</v>
      </c>
      <c r="D30" s="15" t="n">
        <v>167</v>
      </c>
      <c r="E30" s="16" t="n">
        <v>149</v>
      </c>
      <c r="F30" s="13" t="s">
        <v>30</v>
      </c>
      <c r="G30" s="15" t="n">
        <v>1</v>
      </c>
      <c r="H30" s="5" t="str">
        <f aca="false">SUBSTITUTE(A30,"MS","",1)</f>
        <v>52863</v>
      </c>
      <c r="I30" s="5" t="str">
        <f aca="false">VLOOKUP(F30,O:P,2,FALSE())</f>
        <v>Skis Alpin </v>
      </c>
      <c r="J30" s="5" t="str">
        <f aca="false">CONCATENATE(B30," ",C30)</f>
        <v>dynastar speed z10</v>
      </c>
      <c r="K30" s="5" t="str">
        <f aca="false">IF(D30&lt;80,VLOOKUP(D30,R:S,2,FALSE()),CONCATENATE(D30," cm"))</f>
        <v>167 cm</v>
      </c>
      <c r="L30" s="17" t="n">
        <f aca="false">E30</f>
        <v>149</v>
      </c>
    </row>
    <row r="31" customFormat="false" ht="15" hidden="false" customHeight="false" outlineLevel="0" collapsed="false">
      <c r="A31" s="12" t="s">
        <v>110</v>
      </c>
      <c r="B31" s="13" t="s">
        <v>111</v>
      </c>
      <c r="C31" s="14" t="s">
        <v>112</v>
      </c>
      <c r="D31" s="15" t="n">
        <v>177</v>
      </c>
      <c r="E31" s="16" t="n">
        <v>149</v>
      </c>
      <c r="F31" s="13" t="s">
        <v>30</v>
      </c>
      <c r="G31" s="15" t="n">
        <v>1</v>
      </c>
      <c r="H31" s="5" t="str">
        <f aca="false">SUBSTITUTE(A31,"MS","",1)</f>
        <v>52864</v>
      </c>
      <c r="I31" s="5" t="str">
        <f aca="false">VLOOKUP(F31,O:P,2,FALSE())</f>
        <v>Skis Alpin </v>
      </c>
      <c r="J31" s="5" t="str">
        <f aca="false">CONCATENATE(B31," ",C31)</f>
        <v>elan ripstick</v>
      </c>
      <c r="K31" s="5" t="str">
        <f aca="false">IF(D31&lt;80,VLOOKUP(D31,R:S,2,FALSE()),CONCATENATE(D31," cm"))</f>
        <v>177 cm</v>
      </c>
      <c r="L31" s="17" t="n">
        <f aca="false">E31</f>
        <v>149</v>
      </c>
    </row>
    <row r="32" customFormat="false" ht="15" hidden="false" customHeight="false" outlineLevel="0" collapsed="false">
      <c r="A32" s="12" t="s">
        <v>113</v>
      </c>
      <c r="B32" s="13" t="s">
        <v>111</v>
      </c>
      <c r="C32" s="14" t="s">
        <v>112</v>
      </c>
      <c r="D32" s="15" t="n">
        <v>172</v>
      </c>
      <c r="E32" s="16" t="n">
        <v>129</v>
      </c>
      <c r="F32" s="13" t="s">
        <v>30</v>
      </c>
      <c r="G32" s="15" t="n">
        <v>1</v>
      </c>
      <c r="H32" s="5" t="str">
        <f aca="false">SUBSTITUTE(A32,"MS","",1)</f>
        <v>52865</v>
      </c>
      <c r="I32" s="5" t="str">
        <f aca="false">VLOOKUP(F32,O:P,2,FALSE())</f>
        <v>Skis Alpin </v>
      </c>
      <c r="J32" s="5" t="str">
        <f aca="false">CONCATENATE(B32," ",C32)</f>
        <v>elan ripstick</v>
      </c>
      <c r="K32" s="5" t="str">
        <f aca="false">IF(D32&lt;80,VLOOKUP(D32,R:S,2,FALSE()),CONCATENATE(D32," cm"))</f>
        <v>172 cm</v>
      </c>
      <c r="L32" s="17" t="n">
        <f aca="false">E32</f>
        <v>129</v>
      </c>
    </row>
    <row r="33" customFormat="false" ht="15" hidden="false" customHeight="false" outlineLevel="0" collapsed="false">
      <c r="A33" s="12" t="s">
        <v>114</v>
      </c>
      <c r="B33" s="13" t="s">
        <v>111</v>
      </c>
      <c r="C33" s="14" t="s">
        <v>115</v>
      </c>
      <c r="D33" s="15" t="n">
        <v>168</v>
      </c>
      <c r="E33" s="16" t="n">
        <v>129</v>
      </c>
      <c r="F33" s="13" t="s">
        <v>30</v>
      </c>
      <c r="G33" s="15" t="n">
        <v>1</v>
      </c>
      <c r="H33" s="5" t="str">
        <f aca="false">SUBSTITUTE(A33,"MS","",1)</f>
        <v>52866</v>
      </c>
      <c r="I33" s="5" t="str">
        <f aca="false">VLOOKUP(F33,O:P,2,FALSE())</f>
        <v>Skis Alpin </v>
      </c>
      <c r="J33" s="5" t="str">
        <f aca="false">CONCATENATE(B33," ",C33)</f>
        <v>elan amphibio</v>
      </c>
      <c r="K33" s="5" t="str">
        <f aca="false">IF(D33&lt;80,VLOOKUP(D33,R:S,2,FALSE()),CONCATENATE(D33," cm"))</f>
        <v>168 cm</v>
      </c>
      <c r="L33" s="17" t="n">
        <f aca="false">E33</f>
        <v>129</v>
      </c>
    </row>
    <row r="34" customFormat="false" ht="15" hidden="false" customHeight="false" outlineLevel="0" collapsed="false">
      <c r="A34" s="12" t="s">
        <v>116</v>
      </c>
      <c r="B34" s="13" t="s">
        <v>111</v>
      </c>
      <c r="C34" s="14" t="s">
        <v>115</v>
      </c>
      <c r="D34" s="15" t="n">
        <v>168</v>
      </c>
      <c r="E34" s="16" t="n">
        <v>129</v>
      </c>
      <c r="F34" s="13" t="s">
        <v>30</v>
      </c>
      <c r="G34" s="15" t="n">
        <v>1</v>
      </c>
      <c r="H34" s="5" t="str">
        <f aca="false">SUBSTITUTE(A34,"MS","",1)</f>
        <v>52867</v>
      </c>
      <c r="I34" s="5" t="str">
        <f aca="false">VLOOKUP(F34,O:P,2,FALSE())</f>
        <v>Skis Alpin </v>
      </c>
      <c r="J34" s="5" t="str">
        <f aca="false">CONCATENATE(B34," ",C34)</f>
        <v>elan amphibio</v>
      </c>
      <c r="K34" s="5" t="str">
        <f aca="false">IF(D34&lt;80,VLOOKUP(D34,R:S,2,FALSE()),CONCATENATE(D34," cm"))</f>
        <v>168 cm</v>
      </c>
      <c r="L34" s="17" t="n">
        <f aca="false">E34</f>
        <v>129</v>
      </c>
    </row>
    <row r="35" customFormat="false" ht="15" hidden="false" customHeight="false" outlineLevel="0" collapsed="false">
      <c r="A35" s="12" t="s">
        <v>117</v>
      </c>
      <c r="B35" s="13" t="s">
        <v>111</v>
      </c>
      <c r="C35" s="14" t="s">
        <v>115</v>
      </c>
      <c r="D35" s="15" t="n">
        <v>160</v>
      </c>
      <c r="E35" s="16" t="n">
        <v>129</v>
      </c>
      <c r="F35" s="13" t="s">
        <v>30</v>
      </c>
      <c r="G35" s="15" t="n">
        <v>1</v>
      </c>
      <c r="H35" s="5" t="str">
        <f aca="false">SUBSTITUTE(A35,"MS","",1)</f>
        <v>52868</v>
      </c>
      <c r="I35" s="5" t="str">
        <f aca="false">VLOOKUP(F35,O:P,2,FALSE())</f>
        <v>Skis Alpin </v>
      </c>
      <c r="J35" s="5" t="str">
        <f aca="false">CONCATENATE(B35," ",C35)</f>
        <v>elan amphibio</v>
      </c>
      <c r="K35" s="5" t="str">
        <f aca="false">IF(D35&lt;80,VLOOKUP(D35,R:S,2,FALSE()),CONCATENATE(D35," cm"))</f>
        <v>160 cm</v>
      </c>
      <c r="L35" s="17" t="n">
        <f aca="false">E35</f>
        <v>129</v>
      </c>
    </row>
    <row r="36" customFormat="false" ht="15" hidden="false" customHeight="false" outlineLevel="0" collapsed="false">
      <c r="A36" s="12" t="s">
        <v>118</v>
      </c>
      <c r="B36" s="13" t="s">
        <v>111</v>
      </c>
      <c r="C36" s="14" t="s">
        <v>112</v>
      </c>
      <c r="D36" s="15" t="n">
        <v>164</v>
      </c>
      <c r="E36" s="16" t="n">
        <v>145</v>
      </c>
      <c r="F36" s="13" t="s">
        <v>30</v>
      </c>
      <c r="G36" s="15" t="n">
        <v>1</v>
      </c>
      <c r="H36" s="5" t="str">
        <f aca="false">SUBSTITUTE(A36,"MS","",1)</f>
        <v>52869</v>
      </c>
      <c r="I36" s="5" t="str">
        <f aca="false">VLOOKUP(F36,O:P,2,FALSE())</f>
        <v>Skis Alpin </v>
      </c>
      <c r="J36" s="5" t="str">
        <f aca="false">CONCATENATE(B36," ",C36)</f>
        <v>elan ripstick</v>
      </c>
      <c r="K36" s="5" t="str">
        <f aca="false">IF(D36&lt;80,VLOOKUP(D36,R:S,2,FALSE()),CONCATENATE(D36," cm"))</f>
        <v>164 cm</v>
      </c>
      <c r="L36" s="17" t="n">
        <f aca="false">E36</f>
        <v>145</v>
      </c>
    </row>
    <row r="37" customFormat="false" ht="15" hidden="false" customHeight="false" outlineLevel="0" collapsed="false">
      <c r="A37" s="12" t="s">
        <v>119</v>
      </c>
      <c r="B37" s="13" t="s">
        <v>111</v>
      </c>
      <c r="C37" s="14" t="s">
        <v>112</v>
      </c>
      <c r="D37" s="15" t="n">
        <v>158</v>
      </c>
      <c r="E37" s="16" t="n">
        <v>145</v>
      </c>
      <c r="F37" s="13" t="s">
        <v>30</v>
      </c>
      <c r="G37" s="15" t="n">
        <v>1</v>
      </c>
      <c r="H37" s="5" t="str">
        <f aca="false">SUBSTITUTE(A37,"MS","",1)</f>
        <v>52870</v>
      </c>
      <c r="I37" s="5" t="str">
        <f aca="false">VLOOKUP(F37,O:P,2,FALSE())</f>
        <v>Skis Alpin </v>
      </c>
      <c r="J37" s="5" t="str">
        <f aca="false">CONCATENATE(B37," ",C37)</f>
        <v>elan ripstick</v>
      </c>
      <c r="K37" s="5" t="str">
        <f aca="false">IF(D37&lt;80,VLOOKUP(D37,R:S,2,FALSE()),CONCATENATE(D37," cm"))</f>
        <v>158 cm</v>
      </c>
      <c r="L37" s="17" t="n">
        <f aca="false">E37</f>
        <v>145</v>
      </c>
    </row>
    <row r="38" customFormat="false" ht="15" hidden="false" customHeight="false" outlineLevel="0" collapsed="false">
      <c r="A38" s="12" t="s">
        <v>120</v>
      </c>
      <c r="B38" s="13" t="s">
        <v>111</v>
      </c>
      <c r="C38" s="14" t="s">
        <v>112</v>
      </c>
      <c r="D38" s="15" t="n">
        <v>152</v>
      </c>
      <c r="E38" s="16" t="n">
        <v>145</v>
      </c>
      <c r="F38" s="13" t="s">
        <v>30</v>
      </c>
      <c r="G38" s="15" t="n">
        <v>1</v>
      </c>
      <c r="H38" s="5" t="str">
        <f aca="false">SUBSTITUTE(A38,"MS","",1)</f>
        <v>52871</v>
      </c>
      <c r="I38" s="5" t="str">
        <f aca="false">VLOOKUP(F38,O:P,2,FALSE())</f>
        <v>Skis Alpin </v>
      </c>
      <c r="J38" s="5" t="str">
        <f aca="false">CONCATENATE(B38," ",C38)</f>
        <v>elan ripstick</v>
      </c>
      <c r="K38" s="5" t="str">
        <f aca="false">IF(D38&lt;80,VLOOKUP(D38,R:S,2,FALSE()),CONCATENATE(D38," cm"))</f>
        <v>152 cm</v>
      </c>
      <c r="L38" s="17" t="n">
        <f aca="false">E38</f>
        <v>145</v>
      </c>
    </row>
    <row r="39" customFormat="false" ht="15" hidden="false" customHeight="false" outlineLevel="0" collapsed="false">
      <c r="A39" s="12" t="s">
        <v>121</v>
      </c>
      <c r="B39" s="13" t="s">
        <v>111</v>
      </c>
      <c r="C39" s="14" t="s">
        <v>112</v>
      </c>
      <c r="D39" s="15" t="n">
        <v>158</v>
      </c>
      <c r="E39" s="16" t="n">
        <v>145</v>
      </c>
      <c r="F39" s="13" t="s">
        <v>30</v>
      </c>
      <c r="G39" s="15" t="n">
        <v>1</v>
      </c>
      <c r="H39" s="5" t="str">
        <f aca="false">SUBSTITUTE(A39,"MS","",1)</f>
        <v>52872</v>
      </c>
      <c r="I39" s="5" t="str">
        <f aca="false">VLOOKUP(F39,O:P,2,FALSE())</f>
        <v>Skis Alpin </v>
      </c>
      <c r="J39" s="5" t="str">
        <f aca="false">CONCATENATE(B39," ",C39)</f>
        <v>elan ripstick</v>
      </c>
      <c r="K39" s="5" t="str">
        <f aca="false">IF(D39&lt;80,VLOOKUP(D39,R:S,2,FALSE()),CONCATENATE(D39," cm"))</f>
        <v>158 cm</v>
      </c>
      <c r="L39" s="17" t="n">
        <f aca="false">E39</f>
        <v>145</v>
      </c>
    </row>
    <row r="40" customFormat="false" ht="15" hidden="false" customHeight="false" outlineLevel="0" collapsed="false">
      <c r="A40" s="12" t="s">
        <v>122</v>
      </c>
      <c r="B40" s="13" t="s">
        <v>111</v>
      </c>
      <c r="C40" s="14" t="s">
        <v>112</v>
      </c>
      <c r="D40" s="15" t="n">
        <v>158</v>
      </c>
      <c r="E40" s="16" t="n">
        <v>145</v>
      </c>
      <c r="F40" s="13" t="s">
        <v>30</v>
      </c>
      <c r="G40" s="15" t="n">
        <v>1</v>
      </c>
      <c r="H40" s="5" t="str">
        <f aca="false">SUBSTITUTE(A40,"MS","",1)</f>
        <v>52873</v>
      </c>
      <c r="I40" s="5" t="str">
        <f aca="false">VLOOKUP(F40,O:P,2,FALSE())</f>
        <v>Skis Alpin </v>
      </c>
      <c r="J40" s="5" t="str">
        <f aca="false">CONCATENATE(B40," ",C40)</f>
        <v>elan ripstick</v>
      </c>
      <c r="K40" s="5" t="str">
        <f aca="false">IF(D40&lt;80,VLOOKUP(D40,R:S,2,FALSE()),CONCATENATE(D40," cm"))</f>
        <v>158 cm</v>
      </c>
      <c r="L40" s="17" t="n">
        <f aca="false">E40</f>
        <v>145</v>
      </c>
    </row>
    <row r="41" customFormat="false" ht="15" hidden="false" customHeight="false" outlineLevel="0" collapsed="false">
      <c r="A41" s="12" t="s">
        <v>123</v>
      </c>
      <c r="B41" s="13" t="s">
        <v>111</v>
      </c>
      <c r="C41" s="14" t="s">
        <v>124</v>
      </c>
      <c r="D41" s="15" t="n">
        <v>160</v>
      </c>
      <c r="E41" s="16" t="n">
        <v>125</v>
      </c>
      <c r="F41" s="13" t="s">
        <v>30</v>
      </c>
      <c r="G41" s="15" t="n">
        <v>1</v>
      </c>
      <c r="H41" s="5" t="str">
        <f aca="false">SUBSTITUTE(A41,"MS","",1)</f>
        <v>52874</v>
      </c>
      <c r="I41" s="5" t="str">
        <f aca="false">VLOOKUP(F41,O:P,2,FALSE())</f>
        <v>Skis Alpin </v>
      </c>
      <c r="J41" s="5" t="str">
        <f aca="false">CONCATENATE(B41," ",C41)</f>
        <v>elan element</v>
      </c>
      <c r="K41" s="5" t="str">
        <f aca="false">IF(D41&lt;80,VLOOKUP(D41,R:S,2,FALSE()),CONCATENATE(D41," cm"))</f>
        <v>160 cm</v>
      </c>
      <c r="L41" s="17" t="n">
        <f aca="false">E41</f>
        <v>125</v>
      </c>
    </row>
    <row r="42" customFormat="false" ht="15" hidden="false" customHeight="false" outlineLevel="0" collapsed="false">
      <c r="A42" s="12" t="s">
        <v>125</v>
      </c>
      <c r="B42" s="13" t="s">
        <v>111</v>
      </c>
      <c r="C42" s="14" t="s">
        <v>126</v>
      </c>
      <c r="D42" s="15" t="n">
        <v>160</v>
      </c>
      <c r="E42" s="16" t="n">
        <v>149</v>
      </c>
      <c r="F42" s="13" t="s">
        <v>30</v>
      </c>
      <c r="G42" s="15" t="n">
        <v>1</v>
      </c>
      <c r="H42" s="5" t="str">
        <f aca="false">SUBSTITUTE(A42,"MS","",1)</f>
        <v>52875</v>
      </c>
      <c r="I42" s="5" t="str">
        <f aca="false">VLOOKUP(F42,O:P,2,FALSE())</f>
        <v>Skis Alpin </v>
      </c>
      <c r="J42" s="5" t="str">
        <f aca="false">CONCATENATE(B42," ",C42)</f>
        <v>elan explorer</v>
      </c>
      <c r="K42" s="5" t="str">
        <f aca="false">IF(D42&lt;80,VLOOKUP(D42,R:S,2,FALSE()),CONCATENATE(D42," cm"))</f>
        <v>160 cm</v>
      </c>
      <c r="L42" s="17" t="n">
        <f aca="false">E42</f>
        <v>149</v>
      </c>
    </row>
    <row r="43" customFormat="false" ht="15" hidden="false" customHeight="false" outlineLevel="0" collapsed="false">
      <c r="A43" s="12" t="s">
        <v>127</v>
      </c>
      <c r="B43" s="13" t="s">
        <v>111</v>
      </c>
      <c r="C43" s="14" t="s">
        <v>128</v>
      </c>
      <c r="D43" s="15" t="n">
        <v>178</v>
      </c>
      <c r="E43" s="16" t="n">
        <v>169</v>
      </c>
      <c r="F43" s="13" t="s">
        <v>30</v>
      </c>
      <c r="G43" s="15" t="n">
        <v>1</v>
      </c>
      <c r="H43" s="5" t="str">
        <f aca="false">SUBSTITUTE(A43,"MS","",1)</f>
        <v>52876</v>
      </c>
      <c r="I43" s="5" t="str">
        <f aca="false">VLOOKUP(F43,O:P,2,FALSE())</f>
        <v>Skis Alpin </v>
      </c>
      <c r="J43" s="5" t="str">
        <f aca="false">CONCATENATE(B43," ",C43)</f>
        <v>elan wingam</v>
      </c>
      <c r="K43" s="5" t="str">
        <f aca="false">IF(D43&lt;80,VLOOKUP(D43,R:S,2,FALSE()),CONCATENATE(D43," cm"))</f>
        <v>178 cm</v>
      </c>
      <c r="L43" s="17" t="n">
        <f aca="false">E43</f>
        <v>169</v>
      </c>
    </row>
    <row r="44" customFormat="false" ht="15" hidden="false" customHeight="false" outlineLevel="0" collapsed="false">
      <c r="A44" s="12" t="s">
        <v>129</v>
      </c>
      <c r="B44" s="13" t="s">
        <v>111</v>
      </c>
      <c r="C44" s="14" t="s">
        <v>130</v>
      </c>
      <c r="D44" s="15" t="n">
        <v>158</v>
      </c>
      <c r="E44" s="16" t="n">
        <v>125</v>
      </c>
      <c r="F44" s="13" t="s">
        <v>30</v>
      </c>
      <c r="G44" s="15" t="n">
        <v>1</v>
      </c>
      <c r="H44" s="5" t="str">
        <f aca="false">SUBSTITUTE(A44,"MS","",1)</f>
        <v>52877</v>
      </c>
      <c r="I44" s="5" t="str">
        <f aca="false">VLOOKUP(F44,O:P,2,FALSE())</f>
        <v>Skis Alpin </v>
      </c>
      <c r="J44" s="5" t="str">
        <f aca="false">CONCATENATE(B44," ",C44)</f>
        <v>elan inspire</v>
      </c>
      <c r="K44" s="5" t="str">
        <f aca="false">IF(D44&lt;80,VLOOKUP(D44,R:S,2,FALSE()),CONCATENATE(D44," cm"))</f>
        <v>158 cm</v>
      </c>
      <c r="L44" s="17" t="n">
        <f aca="false">E44</f>
        <v>125</v>
      </c>
    </row>
    <row r="45" customFormat="false" ht="15" hidden="false" customHeight="false" outlineLevel="0" collapsed="false">
      <c r="A45" s="12" t="s">
        <v>131</v>
      </c>
      <c r="B45" s="13" t="s">
        <v>132</v>
      </c>
      <c r="C45" s="14" t="s">
        <v>133</v>
      </c>
      <c r="D45" s="15" t="n">
        <v>160</v>
      </c>
      <c r="E45" s="16" t="n">
        <v>115</v>
      </c>
      <c r="F45" s="13" t="s">
        <v>30</v>
      </c>
      <c r="G45" s="15" t="n">
        <v>1</v>
      </c>
      <c r="H45" s="5" t="str">
        <f aca="false">SUBSTITUTE(A45,"MS","",1)</f>
        <v>52878</v>
      </c>
      <c r="I45" s="5" t="str">
        <f aca="false">VLOOKUP(F45,O:P,2,FALSE())</f>
        <v>Skis Alpin </v>
      </c>
      <c r="J45" s="5" t="str">
        <f aca="false">CONCATENATE(B45," ",C45)</f>
        <v>Salomon xdr</v>
      </c>
      <c r="K45" s="5" t="str">
        <f aca="false">IF(D45&lt;80,VLOOKUP(D45,R:S,2,FALSE()),CONCATENATE(D45," cm"))</f>
        <v>160 cm</v>
      </c>
      <c r="L45" s="17" t="n">
        <f aca="false">E45</f>
        <v>115</v>
      </c>
    </row>
    <row r="46" customFormat="false" ht="15" hidden="false" customHeight="false" outlineLevel="0" collapsed="false">
      <c r="A46" s="12" t="s">
        <v>134</v>
      </c>
      <c r="B46" s="13" t="s">
        <v>132</v>
      </c>
      <c r="C46" s="14" t="s">
        <v>133</v>
      </c>
      <c r="D46" s="15" t="n">
        <v>160</v>
      </c>
      <c r="E46" s="16" t="n">
        <v>115</v>
      </c>
      <c r="F46" s="13" t="s">
        <v>30</v>
      </c>
      <c r="G46" s="15" t="n">
        <v>1</v>
      </c>
      <c r="H46" s="5" t="str">
        <f aca="false">SUBSTITUTE(A46,"MS","",1)</f>
        <v>52879</v>
      </c>
      <c r="I46" s="5" t="str">
        <f aca="false">VLOOKUP(F46,O:P,2,FALSE())</f>
        <v>Skis Alpin </v>
      </c>
      <c r="J46" s="5" t="str">
        <f aca="false">CONCATENATE(B46," ",C46)</f>
        <v>Salomon xdr</v>
      </c>
      <c r="K46" s="5" t="str">
        <f aca="false">IF(D46&lt;80,VLOOKUP(D46,R:S,2,FALSE()),CONCATENATE(D46," cm"))</f>
        <v>160 cm</v>
      </c>
      <c r="L46" s="17" t="n">
        <f aca="false">E46</f>
        <v>115</v>
      </c>
    </row>
    <row r="47" customFormat="false" ht="15" hidden="false" customHeight="false" outlineLevel="0" collapsed="false">
      <c r="A47" s="12" t="s">
        <v>135</v>
      </c>
      <c r="B47" s="13" t="s">
        <v>132</v>
      </c>
      <c r="C47" s="14" t="s">
        <v>133</v>
      </c>
      <c r="D47" s="15" t="n">
        <v>170</v>
      </c>
      <c r="E47" s="16" t="n">
        <v>115</v>
      </c>
      <c r="F47" s="13" t="s">
        <v>30</v>
      </c>
      <c r="G47" s="15" t="n">
        <v>1</v>
      </c>
      <c r="H47" s="5" t="str">
        <f aca="false">SUBSTITUTE(A47,"MS","",1)</f>
        <v>52880</v>
      </c>
      <c r="I47" s="5" t="str">
        <f aca="false">VLOOKUP(F47,O:P,2,FALSE())</f>
        <v>Skis Alpin </v>
      </c>
      <c r="J47" s="5" t="str">
        <f aca="false">CONCATENATE(B47," ",C47)</f>
        <v>Salomon xdr</v>
      </c>
      <c r="K47" s="5" t="str">
        <f aca="false">IF(D47&lt;80,VLOOKUP(D47,R:S,2,FALSE()),CONCATENATE(D47," cm"))</f>
        <v>170 cm</v>
      </c>
      <c r="L47" s="17" t="n">
        <f aca="false">E47</f>
        <v>115</v>
      </c>
    </row>
    <row r="48" customFormat="false" ht="15" hidden="false" customHeight="false" outlineLevel="0" collapsed="false">
      <c r="A48" s="12" t="s">
        <v>136</v>
      </c>
      <c r="B48" s="13" t="s">
        <v>132</v>
      </c>
      <c r="C48" s="14" t="s">
        <v>133</v>
      </c>
      <c r="D48" s="15" t="n">
        <v>170</v>
      </c>
      <c r="E48" s="16" t="n">
        <v>115</v>
      </c>
      <c r="F48" s="13" t="s">
        <v>30</v>
      </c>
      <c r="G48" s="15" t="n">
        <v>1</v>
      </c>
      <c r="H48" s="5" t="str">
        <f aca="false">SUBSTITUTE(A48,"MS","",1)</f>
        <v>52881</v>
      </c>
      <c r="I48" s="5" t="str">
        <f aca="false">VLOOKUP(F48,O:P,2,FALSE())</f>
        <v>Skis Alpin </v>
      </c>
      <c r="J48" s="5" t="str">
        <f aca="false">CONCATENATE(B48," ",C48)</f>
        <v>Salomon xdr</v>
      </c>
      <c r="K48" s="5" t="str">
        <f aca="false">IF(D48&lt;80,VLOOKUP(D48,R:S,2,FALSE()),CONCATENATE(D48," cm"))</f>
        <v>170 cm</v>
      </c>
      <c r="L48" s="17" t="n">
        <f aca="false">E48</f>
        <v>115</v>
      </c>
    </row>
    <row r="49" customFormat="false" ht="15" hidden="false" customHeight="false" outlineLevel="0" collapsed="false">
      <c r="A49" s="12" t="s">
        <v>137</v>
      </c>
      <c r="B49" s="13" t="s">
        <v>132</v>
      </c>
      <c r="C49" s="14" t="s">
        <v>138</v>
      </c>
      <c r="D49" s="15" t="n">
        <v>170</v>
      </c>
      <c r="E49" s="16" t="n">
        <v>149</v>
      </c>
      <c r="F49" s="13" t="s">
        <v>30</v>
      </c>
      <c r="G49" s="15" t="n">
        <v>1</v>
      </c>
      <c r="H49" s="5" t="str">
        <f aca="false">SUBSTITUTE(A49,"MS","",1)</f>
        <v>52882</v>
      </c>
      <c r="I49" s="5" t="str">
        <f aca="false">VLOOKUP(F49,O:P,2,FALSE())</f>
        <v>Skis Alpin </v>
      </c>
      <c r="J49" s="5" t="str">
        <f aca="false">CONCATENATE(B49," ",C49)</f>
        <v>Salomon max</v>
      </c>
      <c r="K49" s="5" t="str">
        <f aca="false">IF(D49&lt;80,VLOOKUP(D49,R:S,2,FALSE()),CONCATENATE(D49," cm"))</f>
        <v>170 cm</v>
      </c>
      <c r="L49" s="17" t="n">
        <f aca="false">E49</f>
        <v>149</v>
      </c>
    </row>
    <row r="50" customFormat="false" ht="15" hidden="false" customHeight="false" outlineLevel="0" collapsed="false">
      <c r="A50" s="12" t="s">
        <v>139</v>
      </c>
      <c r="B50" s="13" t="s">
        <v>132</v>
      </c>
      <c r="C50" s="14" t="s">
        <v>138</v>
      </c>
      <c r="D50" s="15" t="n">
        <v>165</v>
      </c>
      <c r="E50" s="16" t="n">
        <v>159</v>
      </c>
      <c r="F50" s="13" t="s">
        <v>30</v>
      </c>
      <c r="G50" s="15" t="n">
        <v>1</v>
      </c>
      <c r="H50" s="5" t="str">
        <f aca="false">SUBSTITUTE(A50,"MS","",1)</f>
        <v>52883</v>
      </c>
      <c r="I50" s="5" t="str">
        <f aca="false">VLOOKUP(F50,O:P,2,FALSE())</f>
        <v>Skis Alpin </v>
      </c>
      <c r="J50" s="5" t="str">
        <f aca="false">CONCATENATE(B50," ",C50)</f>
        <v>Salomon max</v>
      </c>
      <c r="K50" s="5" t="str">
        <f aca="false">IF(D50&lt;80,VLOOKUP(D50,R:S,2,FALSE()),CONCATENATE(D50," cm"))</f>
        <v>165 cm</v>
      </c>
      <c r="L50" s="17" t="n">
        <f aca="false">E50</f>
        <v>159</v>
      </c>
    </row>
    <row r="51" customFormat="false" ht="15" hidden="false" customHeight="false" outlineLevel="0" collapsed="false">
      <c r="A51" s="12" t="s">
        <v>140</v>
      </c>
      <c r="B51" s="13" t="s">
        <v>132</v>
      </c>
      <c r="C51" s="14" t="s">
        <v>138</v>
      </c>
      <c r="D51" s="15" t="n">
        <v>155</v>
      </c>
      <c r="E51" s="16" t="n">
        <v>149</v>
      </c>
      <c r="F51" s="13" t="s">
        <v>30</v>
      </c>
      <c r="G51" s="15" t="n">
        <v>1</v>
      </c>
      <c r="H51" s="5" t="str">
        <f aca="false">SUBSTITUTE(A51,"MS","",1)</f>
        <v>52884</v>
      </c>
      <c r="I51" s="5" t="str">
        <f aca="false">VLOOKUP(F51,O:P,2,FALSE())</f>
        <v>Skis Alpin </v>
      </c>
      <c r="J51" s="5" t="str">
        <f aca="false">CONCATENATE(B51," ",C51)</f>
        <v>Salomon max</v>
      </c>
      <c r="K51" s="5" t="str">
        <f aca="false">IF(D51&lt;80,VLOOKUP(D51,R:S,2,FALSE()),CONCATENATE(D51," cm"))</f>
        <v>155 cm</v>
      </c>
      <c r="L51" s="17" t="n">
        <f aca="false">E51</f>
        <v>149</v>
      </c>
    </row>
    <row r="52" customFormat="false" ht="15" hidden="false" customHeight="false" outlineLevel="0" collapsed="false">
      <c r="A52" s="12" t="s">
        <v>141</v>
      </c>
      <c r="B52" s="13" t="s">
        <v>132</v>
      </c>
      <c r="C52" s="14" t="s">
        <v>138</v>
      </c>
      <c r="D52" s="15" t="n">
        <v>155</v>
      </c>
      <c r="E52" s="16" t="n">
        <v>189</v>
      </c>
      <c r="F52" s="13" t="s">
        <v>30</v>
      </c>
      <c r="G52" s="15" t="n">
        <v>1</v>
      </c>
      <c r="H52" s="5" t="str">
        <f aca="false">SUBSTITUTE(A52,"MS","",1)</f>
        <v>52885</v>
      </c>
      <c r="I52" s="5" t="str">
        <f aca="false">VLOOKUP(F52,O:P,2,FALSE())</f>
        <v>Skis Alpin </v>
      </c>
      <c r="J52" s="5" t="str">
        <f aca="false">CONCATENATE(B52," ",C52)</f>
        <v>Salomon max</v>
      </c>
      <c r="K52" s="5" t="str">
        <f aca="false">IF(D52&lt;80,VLOOKUP(D52,R:S,2,FALSE()),CONCATENATE(D52," cm"))</f>
        <v>155 cm</v>
      </c>
      <c r="L52" s="17" t="n">
        <f aca="false">E52</f>
        <v>189</v>
      </c>
    </row>
    <row r="53" customFormat="false" ht="15" hidden="false" customHeight="false" outlineLevel="0" collapsed="false">
      <c r="A53" s="12" t="s">
        <v>142</v>
      </c>
      <c r="B53" s="13" t="s">
        <v>132</v>
      </c>
      <c r="C53" s="14" t="s">
        <v>143</v>
      </c>
      <c r="D53" s="15" t="n">
        <v>175</v>
      </c>
      <c r="E53" s="16" t="n">
        <v>169</v>
      </c>
      <c r="F53" s="13" t="s">
        <v>30</v>
      </c>
      <c r="G53" s="15" t="n">
        <v>1</v>
      </c>
      <c r="H53" s="5" t="str">
        <f aca="false">SUBSTITUTE(A53,"MS","",1)</f>
        <v>52886</v>
      </c>
      <c r="I53" s="5" t="str">
        <f aca="false">VLOOKUP(F53,O:P,2,FALSE())</f>
        <v>Skis Alpin </v>
      </c>
      <c r="J53" s="5" t="str">
        <f aca="false">CONCATENATE(B53," ",C53)</f>
        <v>Salomon force</v>
      </c>
      <c r="K53" s="5" t="str">
        <f aca="false">IF(D53&lt;80,VLOOKUP(D53,R:S,2,FALSE()),CONCATENATE(D53," cm"))</f>
        <v>175 cm</v>
      </c>
      <c r="L53" s="17" t="n">
        <f aca="false">E53</f>
        <v>169</v>
      </c>
    </row>
    <row r="54" customFormat="false" ht="15" hidden="false" customHeight="false" outlineLevel="0" collapsed="false">
      <c r="A54" s="12" t="s">
        <v>144</v>
      </c>
      <c r="B54" s="13" t="s">
        <v>132</v>
      </c>
      <c r="C54" s="14" t="s">
        <v>145</v>
      </c>
      <c r="D54" s="15" t="n">
        <v>163</v>
      </c>
      <c r="E54" s="16" t="n">
        <v>169</v>
      </c>
      <c r="F54" s="13" t="s">
        <v>30</v>
      </c>
      <c r="G54" s="15" t="n">
        <v>1</v>
      </c>
      <c r="H54" s="5" t="str">
        <f aca="false">SUBSTITUTE(A54,"MS","",1)</f>
        <v>52887</v>
      </c>
      <c r="I54" s="5" t="str">
        <f aca="false">VLOOKUP(F54,O:P,2,FALSE())</f>
        <v>Skis Alpin </v>
      </c>
      <c r="J54" s="5" t="str">
        <f aca="false">CONCATENATE(B54," ",C54)</f>
        <v>Salomon addict</v>
      </c>
      <c r="K54" s="5" t="str">
        <f aca="false">IF(D54&lt;80,VLOOKUP(D54,R:S,2,FALSE()),CONCATENATE(D54," cm"))</f>
        <v>163 cm</v>
      </c>
      <c r="L54" s="17" t="n">
        <f aca="false">E54</f>
        <v>169</v>
      </c>
    </row>
    <row r="55" customFormat="false" ht="15" hidden="false" customHeight="false" outlineLevel="0" collapsed="false">
      <c r="A55" s="12" t="s">
        <v>146</v>
      </c>
      <c r="B55" s="13" t="s">
        <v>132</v>
      </c>
      <c r="C55" s="14" t="s">
        <v>147</v>
      </c>
      <c r="D55" s="15" t="n">
        <v>167</v>
      </c>
      <c r="E55" s="16" t="n">
        <v>189</v>
      </c>
      <c r="F55" s="13" t="s">
        <v>30</v>
      </c>
      <c r="G55" s="15" t="n">
        <v>1</v>
      </c>
      <c r="H55" s="5" t="str">
        <f aca="false">SUBSTITUTE(A55,"MS","",1)</f>
        <v>52888</v>
      </c>
      <c r="I55" s="5" t="str">
        <f aca="false">VLOOKUP(F55,O:P,2,FALSE())</f>
        <v>Skis Alpin </v>
      </c>
      <c r="J55" s="5" t="str">
        <f aca="false">CONCATENATE(B55," ",C55)</f>
        <v>Salomon stance</v>
      </c>
      <c r="K55" s="5" t="str">
        <f aca="false">IF(D55&lt;80,VLOOKUP(D55,R:S,2,FALSE()),CONCATENATE(D55," cm"))</f>
        <v>167 cm</v>
      </c>
      <c r="L55" s="17" t="n">
        <f aca="false">E55</f>
        <v>189</v>
      </c>
    </row>
    <row r="56" customFormat="false" ht="15" hidden="false" customHeight="false" outlineLevel="0" collapsed="false">
      <c r="A56" s="12" t="s">
        <v>148</v>
      </c>
      <c r="B56" s="13" t="s">
        <v>149</v>
      </c>
      <c r="C56" s="14" t="s">
        <v>150</v>
      </c>
      <c r="D56" s="15" t="n">
        <v>174</v>
      </c>
      <c r="E56" s="16" t="n">
        <v>115</v>
      </c>
      <c r="F56" s="13" t="s">
        <v>30</v>
      </c>
      <c r="G56" s="15" t="n">
        <v>1</v>
      </c>
      <c r="H56" s="5" t="str">
        <f aca="false">SUBSTITUTE(A56,"MS","",1)</f>
        <v>52889</v>
      </c>
      <c r="I56" s="5" t="str">
        <f aca="false">VLOOKUP(F56,O:P,2,FALSE())</f>
        <v>Skis Alpin </v>
      </c>
      <c r="J56" s="5" t="str">
        <f aca="false">CONCATENATE(B56," ",C56)</f>
        <v>Nordica spitfire</v>
      </c>
      <c r="K56" s="5" t="str">
        <f aca="false">IF(D56&lt;80,VLOOKUP(D56,R:S,2,FALSE()),CONCATENATE(D56," cm"))</f>
        <v>174 cm</v>
      </c>
      <c r="L56" s="17" t="n">
        <f aca="false">E56</f>
        <v>115</v>
      </c>
    </row>
    <row r="57" customFormat="false" ht="15" hidden="false" customHeight="false" outlineLevel="0" collapsed="false">
      <c r="A57" s="12" t="s">
        <v>151</v>
      </c>
      <c r="B57" s="13" t="s">
        <v>149</v>
      </c>
      <c r="C57" s="14" t="s">
        <v>150</v>
      </c>
      <c r="D57" s="15" t="n">
        <v>168</v>
      </c>
      <c r="E57" s="16" t="n">
        <v>115</v>
      </c>
      <c r="F57" s="13" t="s">
        <v>30</v>
      </c>
      <c r="G57" s="15" t="n">
        <v>1</v>
      </c>
      <c r="H57" s="5" t="str">
        <f aca="false">SUBSTITUTE(A57,"MS","",1)</f>
        <v>52890</v>
      </c>
      <c r="I57" s="5" t="str">
        <f aca="false">VLOOKUP(F57,O:P,2,FALSE())</f>
        <v>Skis Alpin </v>
      </c>
      <c r="J57" s="5" t="str">
        <f aca="false">CONCATENATE(B57," ",C57)</f>
        <v>Nordica spitfire</v>
      </c>
      <c r="K57" s="5" t="str">
        <f aca="false">IF(D57&lt;80,VLOOKUP(D57,R:S,2,FALSE()),CONCATENATE(D57," cm"))</f>
        <v>168 cm</v>
      </c>
      <c r="L57" s="17" t="n">
        <f aca="false">E57</f>
        <v>115</v>
      </c>
    </row>
    <row r="58" customFormat="false" ht="15" hidden="false" customHeight="false" outlineLevel="0" collapsed="false">
      <c r="A58" s="12" t="s">
        <v>152</v>
      </c>
      <c r="B58" s="13" t="s">
        <v>149</v>
      </c>
      <c r="C58" s="14" t="s">
        <v>150</v>
      </c>
      <c r="D58" s="15" t="n">
        <v>162</v>
      </c>
      <c r="E58" s="16" t="n">
        <v>115</v>
      </c>
      <c r="F58" s="13" t="s">
        <v>30</v>
      </c>
      <c r="G58" s="15" t="n">
        <v>1</v>
      </c>
      <c r="H58" s="5" t="str">
        <f aca="false">SUBSTITUTE(A58,"MS","",1)</f>
        <v>52891</v>
      </c>
      <c r="I58" s="5" t="str">
        <f aca="false">VLOOKUP(F58,O:P,2,FALSE())</f>
        <v>Skis Alpin </v>
      </c>
      <c r="J58" s="5" t="str">
        <f aca="false">CONCATENATE(B58," ",C58)</f>
        <v>Nordica spitfire</v>
      </c>
      <c r="K58" s="5" t="str">
        <f aca="false">IF(D58&lt;80,VLOOKUP(D58,R:S,2,FALSE()),CONCATENATE(D58," cm"))</f>
        <v>162 cm</v>
      </c>
      <c r="L58" s="17" t="n">
        <f aca="false">E58</f>
        <v>115</v>
      </c>
    </row>
    <row r="59" customFormat="false" ht="15" hidden="false" customHeight="false" outlineLevel="0" collapsed="false">
      <c r="A59" s="12" t="s">
        <v>153</v>
      </c>
      <c r="B59" s="13" t="s">
        <v>149</v>
      </c>
      <c r="C59" s="14" t="s">
        <v>150</v>
      </c>
      <c r="D59" s="15" t="n">
        <v>162</v>
      </c>
      <c r="E59" s="16" t="n">
        <v>115</v>
      </c>
      <c r="F59" s="13" t="s">
        <v>30</v>
      </c>
      <c r="G59" s="15" t="n">
        <v>1</v>
      </c>
      <c r="H59" s="5" t="str">
        <f aca="false">SUBSTITUTE(A59,"MS","",1)</f>
        <v>52892</v>
      </c>
      <c r="I59" s="5" t="str">
        <f aca="false">VLOOKUP(F59,O:P,2,FALSE())</f>
        <v>Skis Alpin </v>
      </c>
      <c r="J59" s="5" t="str">
        <f aca="false">CONCATENATE(B59," ",C59)</f>
        <v>Nordica spitfire</v>
      </c>
      <c r="K59" s="5" t="str">
        <f aca="false">IF(D59&lt;80,VLOOKUP(D59,R:S,2,FALSE()),CONCATENATE(D59," cm"))</f>
        <v>162 cm</v>
      </c>
      <c r="L59" s="17" t="n">
        <f aca="false">E59</f>
        <v>115</v>
      </c>
    </row>
    <row r="60" customFormat="false" ht="15" hidden="false" customHeight="false" outlineLevel="0" collapsed="false">
      <c r="A60" s="12" t="s">
        <v>154</v>
      </c>
      <c r="B60" s="13" t="s">
        <v>149</v>
      </c>
      <c r="C60" s="14" t="s">
        <v>150</v>
      </c>
      <c r="D60" s="15" t="n">
        <v>162</v>
      </c>
      <c r="E60" s="16" t="n">
        <v>115</v>
      </c>
      <c r="F60" s="13" t="s">
        <v>30</v>
      </c>
      <c r="G60" s="15" t="n">
        <v>1</v>
      </c>
      <c r="H60" s="5" t="str">
        <f aca="false">SUBSTITUTE(A60,"MS","",1)</f>
        <v>52893</v>
      </c>
      <c r="I60" s="5" t="str">
        <f aca="false">VLOOKUP(F60,O:P,2,FALSE())</f>
        <v>Skis Alpin </v>
      </c>
      <c r="J60" s="5" t="str">
        <f aca="false">CONCATENATE(B60," ",C60)</f>
        <v>Nordica spitfire</v>
      </c>
      <c r="K60" s="5" t="str">
        <f aca="false">IF(D60&lt;80,VLOOKUP(D60,R:S,2,FALSE()),CONCATENATE(D60," cm"))</f>
        <v>162 cm</v>
      </c>
      <c r="L60" s="17" t="n">
        <f aca="false">E60</f>
        <v>115</v>
      </c>
    </row>
    <row r="61" customFormat="false" ht="15" hidden="false" customHeight="false" outlineLevel="0" collapsed="false">
      <c r="A61" s="12" t="s">
        <v>155</v>
      </c>
      <c r="B61" s="13" t="s">
        <v>73</v>
      </c>
      <c r="C61" s="14" t="s">
        <v>74</v>
      </c>
      <c r="D61" s="15" t="n">
        <v>172</v>
      </c>
      <c r="E61" s="16" t="n">
        <v>129</v>
      </c>
      <c r="F61" s="13" t="s">
        <v>30</v>
      </c>
      <c r="G61" s="15" t="n">
        <v>1</v>
      </c>
      <c r="H61" s="5" t="str">
        <f aca="false">SUBSTITUTE(A61,"MS","",1)</f>
        <v>52894</v>
      </c>
      <c r="I61" s="5" t="str">
        <f aca="false">VLOOKUP(F61,O:P,2,FALSE())</f>
        <v>Skis Alpin </v>
      </c>
      <c r="J61" s="5" t="str">
        <f aca="false">CONCATENATE(B61," ",C61)</f>
        <v>volkl rtm</v>
      </c>
      <c r="K61" s="5" t="str">
        <f aca="false">IF(D61&lt;80,VLOOKUP(D61,R:S,2,FALSE()),CONCATENATE(D61," cm"))</f>
        <v>172 cm</v>
      </c>
      <c r="L61" s="17" t="n">
        <f aca="false">E61</f>
        <v>129</v>
      </c>
    </row>
    <row r="62" customFormat="false" ht="15" hidden="false" customHeight="false" outlineLevel="0" collapsed="false">
      <c r="A62" s="12" t="s">
        <v>156</v>
      </c>
      <c r="B62" s="13" t="s">
        <v>73</v>
      </c>
      <c r="C62" s="14" t="s">
        <v>74</v>
      </c>
      <c r="D62" s="15" t="n">
        <v>172</v>
      </c>
      <c r="E62" s="16" t="n">
        <v>129</v>
      </c>
      <c r="F62" s="13" t="s">
        <v>30</v>
      </c>
      <c r="G62" s="15" t="n">
        <v>1</v>
      </c>
      <c r="H62" s="5" t="str">
        <f aca="false">SUBSTITUTE(A62,"MS","",1)</f>
        <v>52895</v>
      </c>
      <c r="I62" s="5" t="str">
        <f aca="false">VLOOKUP(F62,O:P,2,FALSE())</f>
        <v>Skis Alpin </v>
      </c>
      <c r="J62" s="5" t="str">
        <f aca="false">CONCATENATE(B62," ",C62)</f>
        <v>volkl rtm</v>
      </c>
      <c r="K62" s="5" t="str">
        <f aca="false">IF(D62&lt;80,VLOOKUP(D62,R:S,2,FALSE()),CONCATENATE(D62," cm"))</f>
        <v>172 cm</v>
      </c>
      <c r="L62" s="17" t="n">
        <f aca="false">E62</f>
        <v>129</v>
      </c>
    </row>
    <row r="63" customFormat="false" ht="15" hidden="false" customHeight="false" outlineLevel="0" collapsed="false">
      <c r="A63" s="12" t="s">
        <v>157</v>
      </c>
      <c r="B63" s="13" t="s">
        <v>73</v>
      </c>
      <c r="C63" s="14" t="s">
        <v>158</v>
      </c>
      <c r="D63" s="15" t="n">
        <v>163</v>
      </c>
      <c r="E63" s="16" t="n">
        <v>215</v>
      </c>
      <c r="F63" s="13" t="s">
        <v>30</v>
      </c>
      <c r="G63" s="15" t="n">
        <v>1</v>
      </c>
      <c r="H63" s="5" t="str">
        <f aca="false">SUBSTITUTE(A63,"MS","",1)</f>
        <v>52896</v>
      </c>
      <c r="I63" s="5" t="str">
        <f aca="false">VLOOKUP(F63,O:P,2,FALSE())</f>
        <v>Skis Alpin </v>
      </c>
      <c r="J63" s="5" t="str">
        <f aca="false">CONCATENATE(B63," ",C63)</f>
        <v>volkl kendo</v>
      </c>
      <c r="K63" s="5" t="str">
        <f aca="false">IF(D63&lt;80,VLOOKUP(D63,R:S,2,FALSE()),CONCATENATE(D63," cm"))</f>
        <v>163 cm</v>
      </c>
      <c r="L63" s="17" t="n">
        <f aca="false">E63</f>
        <v>215</v>
      </c>
    </row>
    <row r="64" customFormat="false" ht="15" hidden="false" customHeight="false" outlineLevel="0" collapsed="false">
      <c r="A64" s="12" t="s">
        <v>159</v>
      </c>
      <c r="B64" s="13" t="s">
        <v>28</v>
      </c>
      <c r="C64" s="14" t="s">
        <v>50</v>
      </c>
      <c r="D64" s="15" t="n">
        <v>177</v>
      </c>
      <c r="E64" s="16" t="n">
        <v>145</v>
      </c>
      <c r="F64" s="13" t="s">
        <v>30</v>
      </c>
      <c r="G64" s="15" t="n">
        <v>1</v>
      </c>
      <c r="H64" s="5" t="str">
        <f aca="false">SUBSTITUTE(A64,"MS","",1)</f>
        <v>52897</v>
      </c>
      <c r="I64" s="5" t="str">
        <f aca="false">VLOOKUP(F64,O:P,2,FALSE())</f>
        <v>Skis Alpin </v>
      </c>
      <c r="J64" s="5" t="str">
        <f aca="false">CONCATENATE(B64," ",C64)</f>
        <v>Rossignol react</v>
      </c>
      <c r="K64" s="5" t="str">
        <f aca="false">IF(D64&lt;80,VLOOKUP(D64,R:S,2,FALSE()),CONCATENATE(D64," cm"))</f>
        <v>177 cm</v>
      </c>
      <c r="L64" s="17" t="n">
        <f aca="false">E64</f>
        <v>145</v>
      </c>
    </row>
    <row r="65" customFormat="false" ht="15" hidden="false" customHeight="false" outlineLevel="0" collapsed="false">
      <c r="A65" s="12" t="s">
        <v>160</v>
      </c>
      <c r="B65" s="13" t="s">
        <v>28</v>
      </c>
      <c r="C65" s="14" t="s">
        <v>50</v>
      </c>
      <c r="D65" s="15" t="n">
        <v>177</v>
      </c>
      <c r="E65" s="16" t="n">
        <v>149</v>
      </c>
      <c r="F65" s="13" t="s">
        <v>30</v>
      </c>
      <c r="G65" s="15" t="n">
        <v>1</v>
      </c>
      <c r="H65" s="5" t="str">
        <f aca="false">SUBSTITUTE(A65,"MS","",1)</f>
        <v>52898</v>
      </c>
      <c r="I65" s="5" t="str">
        <f aca="false">VLOOKUP(F65,O:P,2,FALSE())</f>
        <v>Skis Alpin </v>
      </c>
      <c r="J65" s="5" t="str">
        <f aca="false">CONCATENATE(B65," ",C65)</f>
        <v>Rossignol react</v>
      </c>
      <c r="K65" s="5" t="str">
        <f aca="false">IF(D65&lt;80,VLOOKUP(D65,R:S,2,FALSE()),CONCATENATE(D65," cm"))</f>
        <v>177 cm</v>
      </c>
      <c r="L65" s="17" t="n">
        <f aca="false">E65</f>
        <v>149</v>
      </c>
    </row>
    <row r="66" customFormat="false" ht="15" hidden="false" customHeight="false" outlineLevel="0" collapsed="false">
      <c r="A66" s="12" t="s">
        <v>161</v>
      </c>
      <c r="B66" s="13" t="s">
        <v>28</v>
      </c>
      <c r="C66" s="14" t="s">
        <v>162</v>
      </c>
      <c r="D66" s="15" t="n">
        <v>174</v>
      </c>
      <c r="E66" s="16" t="n">
        <v>145</v>
      </c>
      <c r="F66" s="13" t="s">
        <v>30</v>
      </c>
      <c r="G66" s="15" t="n">
        <v>1</v>
      </c>
      <c r="H66" s="5" t="str">
        <f aca="false">SUBSTITUTE(A66,"MS","",1)</f>
        <v>52899</v>
      </c>
      <c r="I66" s="5" t="str">
        <f aca="false">VLOOKUP(F66,O:P,2,FALSE())</f>
        <v>Skis Alpin </v>
      </c>
      <c r="J66" s="5" t="str">
        <f aca="false">CONCATENATE(B66," ",C66)</f>
        <v>Rossignol exp</v>
      </c>
      <c r="K66" s="5" t="str">
        <f aca="false">IF(D66&lt;80,VLOOKUP(D66,R:S,2,FALSE()),CONCATENATE(D66," cm"))</f>
        <v>174 cm</v>
      </c>
      <c r="L66" s="17" t="n">
        <f aca="false">E66</f>
        <v>145</v>
      </c>
    </row>
    <row r="67" customFormat="false" ht="15" hidden="false" customHeight="false" outlineLevel="0" collapsed="false">
      <c r="A67" s="12" t="s">
        <v>163</v>
      </c>
      <c r="B67" s="13" t="s">
        <v>105</v>
      </c>
      <c r="C67" s="14" t="s">
        <v>164</v>
      </c>
      <c r="D67" s="15" t="n">
        <v>175</v>
      </c>
      <c r="E67" s="16" t="n">
        <v>149</v>
      </c>
      <c r="F67" s="13" t="s">
        <v>30</v>
      </c>
      <c r="G67" s="15" t="n">
        <v>1</v>
      </c>
      <c r="H67" s="5" t="str">
        <f aca="false">SUBSTITUTE(A67,"MS","",1)</f>
        <v>52900</v>
      </c>
      <c r="I67" s="5" t="str">
        <f aca="false">VLOOKUP(F67,O:P,2,FALSE())</f>
        <v>Skis Alpin </v>
      </c>
      <c r="J67" s="5" t="str">
        <f aca="false">CONCATENATE(B67," ",C67)</f>
        <v>dynastar speed 10</v>
      </c>
      <c r="K67" s="5" t="str">
        <f aca="false">IF(D67&lt;80,VLOOKUP(D67,R:S,2,FALSE()),CONCATENATE(D67," cm"))</f>
        <v>175 cm</v>
      </c>
      <c r="L67" s="17" t="n">
        <f aca="false">E67</f>
        <v>149</v>
      </c>
    </row>
    <row r="68" customFormat="false" ht="15" hidden="false" customHeight="false" outlineLevel="0" collapsed="false">
      <c r="A68" s="12" t="s">
        <v>165</v>
      </c>
      <c r="B68" s="13" t="s">
        <v>105</v>
      </c>
      <c r="C68" s="14" t="s">
        <v>106</v>
      </c>
      <c r="D68" s="15" t="n">
        <v>185</v>
      </c>
      <c r="E68" s="16" t="n">
        <v>189</v>
      </c>
      <c r="F68" s="13" t="s">
        <v>30</v>
      </c>
      <c r="G68" s="15" t="n">
        <v>1</v>
      </c>
      <c r="H68" s="5" t="str">
        <f aca="false">SUBSTITUTE(A68,"MS","",1)</f>
        <v>52901</v>
      </c>
      <c r="I68" s="5" t="str">
        <f aca="false">VLOOKUP(F68,O:P,2,FALSE())</f>
        <v>Skis Alpin </v>
      </c>
      <c r="J68" s="5" t="str">
        <f aca="false">CONCATENATE(B68," ",C68)</f>
        <v>dynastar speed 4x4</v>
      </c>
      <c r="K68" s="5" t="str">
        <f aca="false">IF(D68&lt;80,VLOOKUP(D68,R:S,2,FALSE()),CONCATENATE(D68," cm"))</f>
        <v>185 cm</v>
      </c>
      <c r="L68" s="17" t="n">
        <f aca="false">E68</f>
        <v>189</v>
      </c>
    </row>
    <row r="69" customFormat="false" ht="15" hidden="false" customHeight="false" outlineLevel="0" collapsed="false">
      <c r="A69" s="12" t="s">
        <v>166</v>
      </c>
      <c r="B69" s="13" t="s">
        <v>105</v>
      </c>
      <c r="C69" s="14" t="s">
        <v>106</v>
      </c>
      <c r="D69" s="15" t="n">
        <v>170</v>
      </c>
      <c r="E69" s="16" t="n">
        <v>129</v>
      </c>
      <c r="F69" s="13" t="s">
        <v>30</v>
      </c>
      <c r="G69" s="15" t="n">
        <v>1</v>
      </c>
      <c r="H69" s="5" t="str">
        <f aca="false">SUBSTITUTE(A69,"MS","",1)</f>
        <v>52902</v>
      </c>
      <c r="I69" s="5" t="str">
        <f aca="false">VLOOKUP(F69,O:P,2,FALSE())</f>
        <v>Skis Alpin </v>
      </c>
      <c r="J69" s="5" t="str">
        <f aca="false">CONCATENATE(B69," ",C69)</f>
        <v>dynastar speed 4x4</v>
      </c>
      <c r="K69" s="5" t="str">
        <f aca="false">IF(D69&lt;80,VLOOKUP(D69,R:S,2,FALSE()),CONCATENATE(D69," cm"))</f>
        <v>170 cm</v>
      </c>
      <c r="L69" s="17" t="n">
        <f aca="false">E69</f>
        <v>129</v>
      </c>
    </row>
    <row r="70" customFormat="false" ht="15" hidden="false" customHeight="false" outlineLevel="0" collapsed="false">
      <c r="A70" s="12" t="s">
        <v>167</v>
      </c>
      <c r="B70" s="13" t="s">
        <v>111</v>
      </c>
      <c r="C70" s="14" t="s">
        <v>112</v>
      </c>
      <c r="D70" s="15" t="n">
        <v>188</v>
      </c>
      <c r="E70" s="16" t="n">
        <v>145</v>
      </c>
      <c r="F70" s="13" t="s">
        <v>30</v>
      </c>
      <c r="G70" s="15" t="n">
        <v>1</v>
      </c>
      <c r="H70" s="5" t="str">
        <f aca="false">SUBSTITUTE(A70,"MS","",1)</f>
        <v>52903</v>
      </c>
      <c r="I70" s="5" t="str">
        <f aca="false">VLOOKUP(F70,O:P,2,FALSE())</f>
        <v>Skis Alpin </v>
      </c>
      <c r="J70" s="5" t="str">
        <f aca="false">CONCATENATE(B70," ",C70)</f>
        <v>elan ripstick</v>
      </c>
      <c r="K70" s="5" t="str">
        <f aca="false">IF(D70&lt;80,VLOOKUP(D70,R:S,2,FALSE()),CONCATENATE(D70," cm"))</f>
        <v>188 cm</v>
      </c>
      <c r="L70" s="17" t="n">
        <f aca="false">E70</f>
        <v>145</v>
      </c>
    </row>
    <row r="71" customFormat="false" ht="15" hidden="false" customHeight="false" outlineLevel="0" collapsed="false">
      <c r="A71" s="12" t="s">
        <v>168</v>
      </c>
      <c r="B71" s="13" t="s">
        <v>111</v>
      </c>
      <c r="C71" s="14" t="s">
        <v>112</v>
      </c>
      <c r="D71" s="15" t="n">
        <v>178</v>
      </c>
      <c r="E71" s="16" t="n">
        <v>145</v>
      </c>
      <c r="F71" s="13" t="s">
        <v>30</v>
      </c>
      <c r="G71" s="15" t="n">
        <v>1</v>
      </c>
      <c r="H71" s="5" t="str">
        <f aca="false">SUBSTITUTE(A71,"MS","",1)</f>
        <v>52904</v>
      </c>
      <c r="I71" s="5" t="str">
        <f aca="false">VLOOKUP(F71,O:P,2,FALSE())</f>
        <v>Skis Alpin </v>
      </c>
      <c r="J71" s="5" t="str">
        <f aca="false">CONCATENATE(B71," ",C71)</f>
        <v>elan ripstick</v>
      </c>
      <c r="K71" s="5" t="str">
        <f aca="false">IF(D71&lt;80,VLOOKUP(D71,R:S,2,FALSE()),CONCATENATE(D71," cm"))</f>
        <v>178 cm</v>
      </c>
      <c r="L71" s="17" t="n">
        <f aca="false">E71</f>
        <v>145</v>
      </c>
    </row>
    <row r="72" customFormat="false" ht="15" hidden="false" customHeight="false" outlineLevel="0" collapsed="false">
      <c r="A72" s="12" t="s">
        <v>169</v>
      </c>
      <c r="B72" s="13" t="s">
        <v>111</v>
      </c>
      <c r="C72" s="14" t="s">
        <v>115</v>
      </c>
      <c r="D72" s="15" t="n">
        <v>176</v>
      </c>
      <c r="E72" s="16" t="n">
        <v>145</v>
      </c>
      <c r="F72" s="13" t="s">
        <v>30</v>
      </c>
      <c r="G72" s="15" t="n">
        <v>1</v>
      </c>
      <c r="H72" s="5" t="str">
        <f aca="false">SUBSTITUTE(A72,"MS","",1)</f>
        <v>52905</v>
      </c>
      <c r="I72" s="5" t="str">
        <f aca="false">VLOOKUP(F72,O:P,2,FALSE())</f>
        <v>Skis Alpin </v>
      </c>
      <c r="J72" s="5" t="str">
        <f aca="false">CONCATENATE(B72," ",C72)</f>
        <v>elan amphibio</v>
      </c>
      <c r="K72" s="5" t="str">
        <f aca="false">IF(D72&lt;80,VLOOKUP(D72,R:S,2,FALSE()),CONCATENATE(D72," cm"))</f>
        <v>176 cm</v>
      </c>
      <c r="L72" s="17" t="n">
        <f aca="false">E72</f>
        <v>145</v>
      </c>
    </row>
    <row r="73" customFormat="false" ht="15" hidden="false" customHeight="false" outlineLevel="0" collapsed="false">
      <c r="A73" s="12" t="s">
        <v>170</v>
      </c>
      <c r="B73" s="13" t="s">
        <v>111</v>
      </c>
      <c r="C73" s="14" t="s">
        <v>115</v>
      </c>
      <c r="D73" s="15" t="n">
        <v>176</v>
      </c>
      <c r="E73" s="16" t="n">
        <v>125</v>
      </c>
      <c r="F73" s="13" t="s">
        <v>30</v>
      </c>
      <c r="G73" s="15" t="n">
        <v>1</v>
      </c>
      <c r="H73" s="5" t="str">
        <f aca="false">SUBSTITUTE(A73,"MS","",1)</f>
        <v>52906</v>
      </c>
      <c r="I73" s="5" t="str">
        <f aca="false">VLOOKUP(F73,O:P,2,FALSE())</f>
        <v>Skis Alpin </v>
      </c>
      <c r="J73" s="5" t="str">
        <f aca="false">CONCATENATE(B73," ",C73)</f>
        <v>elan amphibio</v>
      </c>
      <c r="K73" s="5" t="str">
        <f aca="false">IF(D73&lt;80,VLOOKUP(D73,R:S,2,FALSE()),CONCATENATE(D73," cm"))</f>
        <v>176 cm</v>
      </c>
      <c r="L73" s="17" t="n">
        <f aca="false">E73</f>
        <v>125</v>
      </c>
    </row>
    <row r="74" customFormat="false" ht="15" hidden="false" customHeight="false" outlineLevel="0" collapsed="false">
      <c r="A74" s="12" t="s">
        <v>171</v>
      </c>
      <c r="B74" s="13" t="s">
        <v>111</v>
      </c>
      <c r="C74" s="14" t="s">
        <v>112</v>
      </c>
      <c r="D74" s="15" t="n">
        <v>164</v>
      </c>
      <c r="E74" s="16" t="n">
        <v>125</v>
      </c>
      <c r="F74" s="13" t="s">
        <v>30</v>
      </c>
      <c r="G74" s="15" t="n">
        <v>1</v>
      </c>
      <c r="H74" s="5" t="str">
        <f aca="false">SUBSTITUTE(A74,"MS","",1)</f>
        <v>52907</v>
      </c>
      <c r="I74" s="5" t="str">
        <f aca="false">VLOOKUP(F74,O:P,2,FALSE())</f>
        <v>Skis Alpin </v>
      </c>
      <c r="J74" s="5" t="str">
        <f aca="false">CONCATENATE(B74," ",C74)</f>
        <v>elan ripstick</v>
      </c>
      <c r="K74" s="5" t="str">
        <f aca="false">IF(D74&lt;80,VLOOKUP(D74,R:S,2,FALSE()),CONCATENATE(D74," cm"))</f>
        <v>164 cm</v>
      </c>
      <c r="L74" s="17" t="n">
        <f aca="false">E74</f>
        <v>125</v>
      </c>
    </row>
    <row r="75" customFormat="false" ht="15" hidden="false" customHeight="false" outlineLevel="0" collapsed="false">
      <c r="A75" s="12" t="s">
        <v>172</v>
      </c>
      <c r="B75" s="13" t="s">
        <v>111</v>
      </c>
      <c r="C75" s="14" t="s">
        <v>112</v>
      </c>
      <c r="D75" s="15" t="n">
        <v>164</v>
      </c>
      <c r="E75" s="16" t="n">
        <v>125</v>
      </c>
      <c r="F75" s="13" t="s">
        <v>30</v>
      </c>
      <c r="G75" s="15" t="n">
        <v>1</v>
      </c>
      <c r="H75" s="5" t="str">
        <f aca="false">SUBSTITUTE(A75,"MS","",1)</f>
        <v>52908</v>
      </c>
      <c r="I75" s="5" t="str">
        <f aca="false">VLOOKUP(F75,O:P,2,FALSE())</f>
        <v>Skis Alpin </v>
      </c>
      <c r="J75" s="5" t="str">
        <f aca="false">CONCATENATE(B75," ",C75)</f>
        <v>elan ripstick</v>
      </c>
      <c r="K75" s="5" t="str">
        <f aca="false">IF(D75&lt;80,VLOOKUP(D75,R:S,2,FALSE()),CONCATENATE(D75," cm"))</f>
        <v>164 cm</v>
      </c>
      <c r="L75" s="17" t="n">
        <f aca="false">E75</f>
        <v>125</v>
      </c>
    </row>
    <row r="76" customFormat="false" ht="15" hidden="false" customHeight="false" outlineLevel="0" collapsed="false">
      <c r="A76" s="12" t="s">
        <v>173</v>
      </c>
      <c r="B76" s="13" t="s">
        <v>105</v>
      </c>
      <c r="C76" s="14" t="s">
        <v>174</v>
      </c>
      <c r="D76" s="15" t="n">
        <v>170</v>
      </c>
      <c r="E76" s="16" t="n">
        <v>115</v>
      </c>
      <c r="F76" s="13" t="s">
        <v>34</v>
      </c>
      <c r="G76" s="15" t="n">
        <v>1</v>
      </c>
      <c r="H76" s="5" t="str">
        <f aca="false">SUBSTITUTE(A76,"MS","",1)</f>
        <v>52909</v>
      </c>
      <c r="I76" s="5" t="str">
        <f aca="false">VLOOKUP(F76,O:P,2,FALSE())</f>
        <v>Skis Alpin </v>
      </c>
      <c r="J76" s="5" t="str">
        <f aca="false">CONCATENATE(B76," ",C76)</f>
        <v>dynastar legend</v>
      </c>
      <c r="K76" s="5" t="str">
        <f aca="false">IF(D76&lt;80,VLOOKUP(D76,R:S,2,FALSE()),CONCATENATE(D76," cm"))</f>
        <v>170 cm</v>
      </c>
      <c r="L76" s="17" t="n">
        <f aca="false">E76</f>
        <v>115</v>
      </c>
    </row>
    <row r="77" customFormat="false" ht="15" hidden="false" customHeight="false" outlineLevel="0" collapsed="false">
      <c r="A77" s="12" t="s">
        <v>175</v>
      </c>
      <c r="B77" s="13" t="s">
        <v>105</v>
      </c>
      <c r="C77" s="14" t="s">
        <v>176</v>
      </c>
      <c r="D77" s="15" t="n">
        <v>167</v>
      </c>
      <c r="E77" s="16" t="n">
        <v>129</v>
      </c>
      <c r="F77" s="13" t="s">
        <v>34</v>
      </c>
      <c r="G77" s="15" t="n">
        <v>1</v>
      </c>
      <c r="H77" s="5" t="str">
        <f aca="false">SUBSTITUTE(A77,"MS","",1)</f>
        <v>52910</v>
      </c>
      <c r="I77" s="5" t="str">
        <f aca="false">VLOOKUP(F77,O:P,2,FALSE())</f>
        <v>Skis Alpin </v>
      </c>
      <c r="J77" s="5" t="str">
        <f aca="false">CONCATENATE(B77," ",C77)</f>
        <v>dynastar intense 10</v>
      </c>
      <c r="K77" s="5" t="str">
        <f aca="false">IF(D77&lt;80,VLOOKUP(D77,R:S,2,FALSE()),CONCATENATE(D77," cm"))</f>
        <v>167 cm</v>
      </c>
      <c r="L77" s="17" t="n">
        <f aca="false">E77</f>
        <v>129</v>
      </c>
    </row>
    <row r="78" customFormat="false" ht="15" hidden="false" customHeight="false" outlineLevel="0" collapsed="false">
      <c r="A78" s="12" t="s">
        <v>177</v>
      </c>
      <c r="B78" s="13" t="s">
        <v>105</v>
      </c>
      <c r="C78" s="14" t="s">
        <v>164</v>
      </c>
      <c r="D78" s="15" t="n">
        <v>153</v>
      </c>
      <c r="E78" s="16" t="n">
        <v>149</v>
      </c>
      <c r="F78" s="13" t="s">
        <v>30</v>
      </c>
      <c r="G78" s="15" t="n">
        <v>1</v>
      </c>
      <c r="H78" s="5" t="str">
        <f aca="false">SUBSTITUTE(A78,"MS","",1)</f>
        <v>52911</v>
      </c>
      <c r="I78" s="5" t="str">
        <f aca="false">VLOOKUP(F78,O:P,2,FALSE())</f>
        <v>Skis Alpin </v>
      </c>
      <c r="J78" s="5" t="str">
        <f aca="false">CONCATENATE(B78," ",C78)</f>
        <v>dynastar speed 10</v>
      </c>
      <c r="K78" s="5" t="str">
        <f aca="false">IF(D78&lt;80,VLOOKUP(D78,R:S,2,FALSE()),CONCATENATE(D78," cm"))</f>
        <v>153 cm</v>
      </c>
      <c r="L78" s="17" t="n">
        <f aca="false">E78</f>
        <v>149</v>
      </c>
    </row>
    <row r="79" customFormat="false" ht="15" hidden="false" customHeight="false" outlineLevel="0" collapsed="false">
      <c r="A79" s="12" t="s">
        <v>178</v>
      </c>
      <c r="B79" s="13" t="s">
        <v>105</v>
      </c>
      <c r="C79" s="14" t="s">
        <v>179</v>
      </c>
      <c r="D79" s="15" t="n">
        <v>160</v>
      </c>
      <c r="E79" s="16" t="n">
        <v>149</v>
      </c>
      <c r="F79" s="13" t="s">
        <v>30</v>
      </c>
      <c r="G79" s="15" t="n">
        <v>1</v>
      </c>
      <c r="H79" s="5" t="str">
        <f aca="false">SUBSTITUTE(A79,"MS","",1)</f>
        <v>52912</v>
      </c>
      <c r="I79" s="5" t="str">
        <f aca="false">VLOOKUP(F79,O:P,2,FALSE())</f>
        <v>Skis Alpin </v>
      </c>
      <c r="J79" s="5" t="str">
        <f aca="false">CONCATENATE(B79," ",C79)</f>
        <v>dynastar speed 11</v>
      </c>
      <c r="K79" s="5" t="str">
        <f aca="false">IF(D79&lt;80,VLOOKUP(D79,R:S,2,FALSE()),CONCATENATE(D79," cm"))</f>
        <v>160 cm</v>
      </c>
      <c r="L79" s="17" t="n">
        <f aca="false">E79</f>
        <v>149</v>
      </c>
    </row>
    <row r="80" customFormat="false" ht="15" hidden="false" customHeight="false" outlineLevel="0" collapsed="false">
      <c r="A80" s="12" t="s">
        <v>180</v>
      </c>
      <c r="B80" s="13" t="s">
        <v>28</v>
      </c>
      <c r="C80" s="14" t="s">
        <v>181</v>
      </c>
      <c r="D80" s="15" t="n">
        <v>152</v>
      </c>
      <c r="E80" s="16" t="n">
        <v>149</v>
      </c>
      <c r="F80" s="13" t="s">
        <v>34</v>
      </c>
      <c r="G80" s="15" t="n">
        <v>1</v>
      </c>
      <c r="H80" s="5" t="str">
        <f aca="false">SUBSTITUTE(A80,"MS","",1)</f>
        <v>52913</v>
      </c>
      <c r="I80" s="5" t="str">
        <f aca="false">VLOOKUP(F80,O:P,2,FALSE())</f>
        <v>Skis Alpin </v>
      </c>
      <c r="J80" s="5" t="str">
        <f aca="false">CONCATENATE(B80," ",C80)</f>
        <v>Rossignol exp 84</v>
      </c>
      <c r="K80" s="5" t="str">
        <f aca="false">IF(D80&lt;80,VLOOKUP(D80,R:S,2,FALSE()),CONCATENATE(D80," cm"))</f>
        <v>152 cm</v>
      </c>
      <c r="L80" s="17" t="n">
        <f aca="false">E80</f>
        <v>149</v>
      </c>
    </row>
    <row r="81" customFormat="false" ht="15" hidden="false" customHeight="false" outlineLevel="0" collapsed="false">
      <c r="A81" s="12" t="s">
        <v>182</v>
      </c>
      <c r="B81" s="13" t="s">
        <v>28</v>
      </c>
      <c r="C81" s="14" t="s">
        <v>181</v>
      </c>
      <c r="D81" s="15" t="n">
        <v>152</v>
      </c>
      <c r="E81" s="16" t="n">
        <v>149</v>
      </c>
      <c r="F81" s="13" t="s">
        <v>34</v>
      </c>
      <c r="G81" s="15" t="n">
        <v>1</v>
      </c>
      <c r="H81" s="5" t="str">
        <f aca="false">SUBSTITUTE(A81,"MS","",1)</f>
        <v>52914</v>
      </c>
      <c r="I81" s="5" t="str">
        <f aca="false">VLOOKUP(F81,O:P,2,FALSE())</f>
        <v>Skis Alpin </v>
      </c>
      <c r="J81" s="5" t="str">
        <f aca="false">CONCATENATE(B81," ",C81)</f>
        <v>Rossignol exp 84</v>
      </c>
      <c r="K81" s="5" t="str">
        <f aca="false">IF(D81&lt;80,VLOOKUP(D81,R:S,2,FALSE()),CONCATENATE(D81," cm"))</f>
        <v>152 cm</v>
      </c>
      <c r="L81" s="17" t="n">
        <f aca="false">E81</f>
        <v>149</v>
      </c>
    </row>
    <row r="82" customFormat="false" ht="15" hidden="false" customHeight="false" outlineLevel="0" collapsed="false">
      <c r="A82" s="12" t="s">
        <v>183</v>
      </c>
      <c r="B82" s="13" t="s">
        <v>28</v>
      </c>
      <c r="C82" s="14" t="s">
        <v>50</v>
      </c>
      <c r="D82" s="15" t="n">
        <v>163</v>
      </c>
      <c r="E82" s="16" t="n">
        <v>125</v>
      </c>
      <c r="F82" s="13" t="s">
        <v>38</v>
      </c>
      <c r="G82" s="15" t="n">
        <v>1</v>
      </c>
      <c r="H82" s="5" t="str">
        <f aca="false">SUBSTITUTE(A82,"MS","",1)</f>
        <v>52915</v>
      </c>
      <c r="I82" s="5" t="str">
        <f aca="false">VLOOKUP(F82,O:P,2,FALSE())</f>
        <v>Skis Alpin </v>
      </c>
      <c r="J82" s="5" t="str">
        <f aca="false">CONCATENATE(B82," ",C82)</f>
        <v>Rossignol react</v>
      </c>
      <c r="K82" s="5" t="str">
        <f aca="false">IF(D82&lt;80,VLOOKUP(D82,R:S,2,FALSE()),CONCATENATE(D82," cm"))</f>
        <v>163 cm</v>
      </c>
      <c r="L82" s="17" t="n">
        <f aca="false">E82</f>
        <v>125</v>
      </c>
    </row>
    <row r="83" customFormat="false" ht="15" hidden="false" customHeight="false" outlineLevel="0" collapsed="false">
      <c r="A83" s="12" t="s">
        <v>184</v>
      </c>
      <c r="B83" s="13" t="s">
        <v>185</v>
      </c>
      <c r="C83" s="14" t="s">
        <v>186</v>
      </c>
      <c r="D83" s="15" t="n">
        <v>165</v>
      </c>
      <c r="E83" s="16" t="n">
        <v>215</v>
      </c>
      <c r="F83" s="13" t="s">
        <v>38</v>
      </c>
      <c r="G83" s="15" t="n">
        <v>1</v>
      </c>
      <c r="H83" s="5" t="str">
        <f aca="false">SUBSTITUTE(A83,"MS","",1)</f>
        <v>52916</v>
      </c>
      <c r="I83" s="5" t="str">
        <f aca="false">VLOOKUP(F83,O:P,2,FALSE())</f>
        <v>Skis Alpin </v>
      </c>
      <c r="J83" s="5" t="str">
        <f aca="false">CONCATENATE(B83," ",C83)</f>
        <v>lacroix Lx</v>
      </c>
      <c r="K83" s="5" t="str">
        <f aca="false">IF(D83&lt;80,VLOOKUP(D83,R:S,2,FALSE()),CONCATENATE(D83," cm"))</f>
        <v>165 cm</v>
      </c>
      <c r="L83" s="17" t="n">
        <f aca="false">E83</f>
        <v>215</v>
      </c>
    </row>
    <row r="84" customFormat="false" ht="15" hidden="false" customHeight="false" outlineLevel="0" collapsed="false">
      <c r="A84" s="12" t="s">
        <v>187</v>
      </c>
      <c r="B84" s="13" t="s">
        <v>185</v>
      </c>
      <c r="C84" s="14" t="s">
        <v>186</v>
      </c>
      <c r="D84" s="15" t="n">
        <v>165</v>
      </c>
      <c r="E84" s="16" t="n">
        <v>215</v>
      </c>
      <c r="F84" s="13" t="s">
        <v>38</v>
      </c>
      <c r="G84" s="15" t="n">
        <v>1</v>
      </c>
      <c r="H84" s="5" t="str">
        <f aca="false">SUBSTITUTE(A84,"MS","",1)</f>
        <v>52917</v>
      </c>
      <c r="I84" s="5" t="str">
        <f aca="false">VLOOKUP(F84,O:P,2,FALSE())</f>
        <v>Skis Alpin </v>
      </c>
      <c r="J84" s="5" t="str">
        <f aca="false">CONCATENATE(B84," ",C84)</f>
        <v>lacroix Lx</v>
      </c>
      <c r="K84" s="5" t="str">
        <f aca="false">IF(D84&lt;80,VLOOKUP(D84,R:S,2,FALSE()),CONCATENATE(D84," cm"))</f>
        <v>165 cm</v>
      </c>
      <c r="L84" s="17" t="n">
        <f aca="false">E84</f>
        <v>215</v>
      </c>
    </row>
    <row r="85" customFormat="false" ht="15" hidden="false" customHeight="false" outlineLevel="0" collapsed="false">
      <c r="A85" s="12" t="s">
        <v>188</v>
      </c>
      <c r="B85" s="13" t="s">
        <v>185</v>
      </c>
      <c r="C85" s="14" t="s">
        <v>186</v>
      </c>
      <c r="D85" s="15" t="n">
        <v>170</v>
      </c>
      <c r="E85" s="16" t="n">
        <v>215</v>
      </c>
      <c r="F85" s="13" t="s">
        <v>38</v>
      </c>
      <c r="G85" s="15" t="n">
        <v>1</v>
      </c>
      <c r="H85" s="5" t="str">
        <f aca="false">SUBSTITUTE(A85,"MS","",1)</f>
        <v>52918</v>
      </c>
      <c r="I85" s="5" t="str">
        <f aca="false">VLOOKUP(F85,O:P,2,FALSE())</f>
        <v>Skis Alpin </v>
      </c>
      <c r="J85" s="5" t="str">
        <f aca="false">CONCATENATE(B85," ",C85)</f>
        <v>lacroix Lx</v>
      </c>
      <c r="K85" s="5" t="str">
        <f aca="false">IF(D85&lt;80,VLOOKUP(D85,R:S,2,FALSE()),CONCATENATE(D85," cm"))</f>
        <v>170 cm</v>
      </c>
      <c r="L85" s="17" t="n">
        <f aca="false">E85</f>
        <v>215</v>
      </c>
    </row>
    <row r="86" customFormat="false" ht="15" hidden="false" customHeight="false" outlineLevel="0" collapsed="false">
      <c r="A86" s="12" t="s">
        <v>189</v>
      </c>
      <c r="B86" s="13" t="s">
        <v>132</v>
      </c>
      <c r="C86" s="14" t="s">
        <v>138</v>
      </c>
      <c r="D86" s="15" t="n">
        <v>163</v>
      </c>
      <c r="E86" s="16" t="n">
        <v>159</v>
      </c>
      <c r="F86" s="13" t="s">
        <v>38</v>
      </c>
      <c r="G86" s="15" t="n">
        <v>1</v>
      </c>
      <c r="H86" s="5" t="str">
        <f aca="false">SUBSTITUTE(A86,"MS","",1)</f>
        <v>52919</v>
      </c>
      <c r="I86" s="5" t="str">
        <f aca="false">VLOOKUP(F86,O:P,2,FALSE())</f>
        <v>Skis Alpin </v>
      </c>
      <c r="J86" s="5" t="str">
        <f aca="false">CONCATENATE(B86," ",C86)</f>
        <v>Salomon max</v>
      </c>
      <c r="K86" s="5" t="str">
        <f aca="false">IF(D86&lt;80,VLOOKUP(D86,R:S,2,FALSE()),CONCATENATE(D86," cm"))</f>
        <v>163 cm</v>
      </c>
      <c r="L86" s="17" t="n">
        <f aca="false">E86</f>
        <v>159</v>
      </c>
    </row>
    <row r="87" customFormat="false" ht="15" hidden="false" customHeight="false" outlineLevel="0" collapsed="false">
      <c r="A87" s="12" t="s">
        <v>190</v>
      </c>
      <c r="B87" s="13" t="s">
        <v>191</v>
      </c>
      <c r="C87" s="14" t="s">
        <v>192</v>
      </c>
      <c r="D87" s="15" t="n">
        <v>165</v>
      </c>
      <c r="E87" s="16" t="n">
        <v>169</v>
      </c>
      <c r="F87" s="13" t="s">
        <v>34</v>
      </c>
      <c r="G87" s="15" t="n">
        <v>1</v>
      </c>
      <c r="H87" s="5" t="str">
        <f aca="false">SUBSTITUTE(A87,"MS","",1)</f>
        <v>52920</v>
      </c>
      <c r="I87" s="5" t="str">
        <f aca="false">VLOOKUP(F87,O:P,2,FALSE())</f>
        <v>Skis Alpin </v>
      </c>
      <c r="J87" s="5" t="str">
        <f aca="false">CONCATENATE(B87," ",C87)</f>
        <v>atomic ventage</v>
      </c>
      <c r="K87" s="5" t="str">
        <f aca="false">IF(D87&lt;80,VLOOKUP(D87,R:S,2,FALSE()),CONCATENATE(D87," cm"))</f>
        <v>165 cm</v>
      </c>
      <c r="L87" s="17" t="n">
        <f aca="false">E87</f>
        <v>169</v>
      </c>
    </row>
    <row r="88" customFormat="false" ht="15" hidden="false" customHeight="false" outlineLevel="0" collapsed="false">
      <c r="A88" s="12" t="s">
        <v>193</v>
      </c>
      <c r="B88" s="13" t="s">
        <v>191</v>
      </c>
      <c r="C88" s="14" t="s">
        <v>194</v>
      </c>
      <c r="D88" s="15" t="n">
        <v>163</v>
      </c>
      <c r="E88" s="16" t="n">
        <v>149</v>
      </c>
      <c r="F88" s="13" t="s">
        <v>34</v>
      </c>
      <c r="G88" s="15" t="n">
        <v>1</v>
      </c>
      <c r="H88" s="5" t="str">
        <f aca="false">SUBSTITUTE(A88,"MS","",1)</f>
        <v>52921</v>
      </c>
      <c r="I88" s="5" t="str">
        <f aca="false">VLOOKUP(F88,O:P,2,FALSE())</f>
        <v>Skis Alpin </v>
      </c>
      <c r="J88" s="5" t="str">
        <f aca="false">CONCATENATE(B88," ",C88)</f>
        <v>atomic redster</v>
      </c>
      <c r="K88" s="5" t="str">
        <f aca="false">IF(D88&lt;80,VLOOKUP(D88,R:S,2,FALSE()),CONCATENATE(D88," cm"))</f>
        <v>163 cm</v>
      </c>
      <c r="L88" s="17" t="n">
        <f aca="false">E88</f>
        <v>149</v>
      </c>
    </row>
    <row r="89" customFormat="false" ht="15" hidden="false" customHeight="false" outlineLevel="0" collapsed="false">
      <c r="A89" s="12" t="s">
        <v>195</v>
      </c>
      <c r="B89" s="13" t="s">
        <v>105</v>
      </c>
      <c r="C89" s="14" t="s">
        <v>196</v>
      </c>
      <c r="D89" s="15" t="n">
        <v>156</v>
      </c>
      <c r="E89" s="16" t="n">
        <v>135</v>
      </c>
      <c r="F89" s="13" t="s">
        <v>34</v>
      </c>
      <c r="G89" s="15" t="n">
        <v>1</v>
      </c>
      <c r="H89" s="5" t="str">
        <f aca="false">SUBSTITUTE(A89,"MS","",1)</f>
        <v>52922</v>
      </c>
      <c r="I89" s="5" t="str">
        <f aca="false">VLOOKUP(F89,O:P,2,FALSE())</f>
        <v>Skis Alpin </v>
      </c>
      <c r="J89" s="5" t="str">
        <f aca="false">CONCATENATE(B89," ",C89)</f>
        <v>dynastar glory</v>
      </c>
      <c r="K89" s="5" t="str">
        <f aca="false">IF(D89&lt;80,VLOOKUP(D89,R:S,2,FALSE()),CONCATENATE(D89," cm"))</f>
        <v>156 cm</v>
      </c>
      <c r="L89" s="17" t="n">
        <f aca="false">E89</f>
        <v>135</v>
      </c>
    </row>
    <row r="90" customFormat="false" ht="15" hidden="false" customHeight="false" outlineLevel="0" collapsed="false">
      <c r="A90" s="12" t="s">
        <v>197</v>
      </c>
      <c r="B90" s="13" t="s">
        <v>105</v>
      </c>
      <c r="C90" s="14" t="s">
        <v>174</v>
      </c>
      <c r="D90" s="15" t="n">
        <v>149</v>
      </c>
      <c r="E90" s="16" t="n">
        <v>115</v>
      </c>
      <c r="F90" s="13" t="s">
        <v>34</v>
      </c>
      <c r="G90" s="15" t="n">
        <v>1</v>
      </c>
      <c r="H90" s="5" t="str">
        <f aca="false">SUBSTITUTE(A90,"MS","",1)</f>
        <v>52923</v>
      </c>
      <c r="I90" s="5" t="str">
        <f aca="false">VLOOKUP(F90,O:P,2,FALSE())</f>
        <v>Skis Alpin </v>
      </c>
      <c r="J90" s="5" t="str">
        <f aca="false">CONCATENATE(B90," ",C90)</f>
        <v>dynastar legend</v>
      </c>
      <c r="K90" s="5" t="str">
        <f aca="false">IF(D90&lt;80,VLOOKUP(D90,R:S,2,FALSE()),CONCATENATE(D90," cm"))</f>
        <v>149 cm</v>
      </c>
      <c r="L90" s="17" t="n">
        <f aca="false">E90</f>
        <v>115</v>
      </c>
    </row>
    <row r="91" customFormat="false" ht="15" hidden="false" customHeight="false" outlineLevel="0" collapsed="false">
      <c r="A91" s="12" t="s">
        <v>198</v>
      </c>
      <c r="B91" s="13" t="s">
        <v>105</v>
      </c>
      <c r="C91" s="14" t="s">
        <v>199</v>
      </c>
      <c r="D91" s="15" t="n">
        <v>151</v>
      </c>
      <c r="E91" s="16" t="n">
        <v>110</v>
      </c>
      <c r="F91" s="13" t="s">
        <v>34</v>
      </c>
      <c r="G91" s="15" t="n">
        <v>1</v>
      </c>
      <c r="H91" s="5" t="str">
        <f aca="false">SUBSTITUTE(A91,"MS","",1)</f>
        <v>52924</v>
      </c>
      <c r="I91" s="5" t="str">
        <f aca="false">VLOOKUP(F91,O:P,2,FALSE())</f>
        <v>Skis Alpin </v>
      </c>
      <c r="J91" s="5" t="str">
        <f aca="false">CONCATENATE(B91," ",C91)</f>
        <v>dynastar intense 8</v>
      </c>
      <c r="K91" s="5" t="str">
        <f aca="false">IF(D91&lt;80,VLOOKUP(D91,R:S,2,FALSE()),CONCATENATE(D91," cm"))</f>
        <v>151 cm</v>
      </c>
      <c r="L91" s="17" t="n">
        <f aca="false">E91</f>
        <v>110</v>
      </c>
    </row>
    <row r="92" customFormat="false" ht="15" hidden="false" customHeight="false" outlineLevel="0" collapsed="false">
      <c r="A92" s="12" t="s">
        <v>200</v>
      </c>
      <c r="B92" s="13" t="s">
        <v>105</v>
      </c>
      <c r="C92" s="14" t="s">
        <v>199</v>
      </c>
      <c r="D92" s="15" t="n">
        <v>151</v>
      </c>
      <c r="E92" s="16" t="n">
        <v>110</v>
      </c>
      <c r="F92" s="13" t="s">
        <v>34</v>
      </c>
      <c r="G92" s="15" t="n">
        <v>1</v>
      </c>
      <c r="H92" s="5" t="str">
        <f aca="false">SUBSTITUTE(A92,"MS","",1)</f>
        <v>52925</v>
      </c>
      <c r="I92" s="5" t="str">
        <f aca="false">VLOOKUP(F92,O:P,2,FALSE())</f>
        <v>Skis Alpin </v>
      </c>
      <c r="J92" s="5" t="str">
        <f aca="false">CONCATENATE(B92," ",C92)</f>
        <v>dynastar intense 8</v>
      </c>
      <c r="K92" s="5" t="str">
        <f aca="false">IF(D92&lt;80,VLOOKUP(D92,R:S,2,FALSE()),CONCATENATE(D92," cm"))</f>
        <v>151 cm</v>
      </c>
      <c r="L92" s="17" t="n">
        <f aca="false">E92</f>
        <v>110</v>
      </c>
    </row>
    <row r="93" customFormat="false" ht="15" hidden="false" customHeight="false" outlineLevel="0" collapsed="false">
      <c r="A93" s="12" t="s">
        <v>201</v>
      </c>
      <c r="B93" s="13" t="s">
        <v>105</v>
      </c>
      <c r="C93" s="14" t="s">
        <v>199</v>
      </c>
      <c r="D93" s="15" t="n">
        <v>144</v>
      </c>
      <c r="E93" s="16" t="n">
        <v>110</v>
      </c>
      <c r="F93" s="13" t="s">
        <v>34</v>
      </c>
      <c r="G93" s="15" t="n">
        <v>1</v>
      </c>
      <c r="H93" s="5" t="str">
        <f aca="false">SUBSTITUTE(A93,"MS","",1)</f>
        <v>52926</v>
      </c>
      <c r="I93" s="5" t="str">
        <f aca="false">VLOOKUP(F93,O:P,2,FALSE())</f>
        <v>Skis Alpin </v>
      </c>
      <c r="J93" s="5" t="str">
        <f aca="false">CONCATENATE(B93," ",C93)</f>
        <v>dynastar intense 8</v>
      </c>
      <c r="K93" s="5" t="str">
        <f aca="false">IF(D93&lt;80,VLOOKUP(D93,R:S,2,FALSE()),CONCATENATE(D93," cm"))</f>
        <v>144 cm</v>
      </c>
      <c r="L93" s="17" t="n">
        <f aca="false">E93</f>
        <v>110</v>
      </c>
    </row>
    <row r="94" customFormat="false" ht="15" hidden="false" customHeight="false" outlineLevel="0" collapsed="false">
      <c r="A94" s="12" t="s">
        <v>202</v>
      </c>
      <c r="B94" s="13" t="s">
        <v>105</v>
      </c>
      <c r="C94" s="14" t="s">
        <v>196</v>
      </c>
      <c r="D94" s="15" t="n">
        <v>142</v>
      </c>
      <c r="E94" s="16" t="n">
        <v>110</v>
      </c>
      <c r="F94" s="13" t="s">
        <v>34</v>
      </c>
      <c r="G94" s="15" t="n">
        <v>1</v>
      </c>
      <c r="H94" s="5" t="str">
        <f aca="false">SUBSTITUTE(A94,"MS","",1)</f>
        <v>52927</v>
      </c>
      <c r="I94" s="5" t="str">
        <f aca="false">VLOOKUP(F94,O:P,2,FALSE())</f>
        <v>Skis Alpin </v>
      </c>
      <c r="J94" s="5" t="str">
        <f aca="false">CONCATENATE(B94," ",C94)</f>
        <v>dynastar glory</v>
      </c>
      <c r="K94" s="5" t="str">
        <f aca="false">IF(D94&lt;80,VLOOKUP(D94,R:S,2,FALSE()),CONCATENATE(D94," cm"))</f>
        <v>142 cm</v>
      </c>
      <c r="L94" s="17" t="n">
        <f aca="false">E94</f>
        <v>110</v>
      </c>
    </row>
    <row r="95" customFormat="false" ht="15" hidden="false" customHeight="false" outlineLevel="0" collapsed="false">
      <c r="A95" s="12" t="s">
        <v>203</v>
      </c>
      <c r="B95" s="13" t="s">
        <v>105</v>
      </c>
      <c r="C95" s="14" t="s">
        <v>196</v>
      </c>
      <c r="D95" s="15" t="n">
        <v>142</v>
      </c>
      <c r="E95" s="16" t="n">
        <v>110</v>
      </c>
      <c r="F95" s="13" t="s">
        <v>34</v>
      </c>
      <c r="G95" s="15" t="n">
        <v>1</v>
      </c>
      <c r="H95" s="5" t="str">
        <f aca="false">SUBSTITUTE(A95,"MS","",1)</f>
        <v>52928</v>
      </c>
      <c r="I95" s="5" t="str">
        <f aca="false">VLOOKUP(F95,O:P,2,FALSE())</f>
        <v>Skis Alpin </v>
      </c>
      <c r="J95" s="5" t="str">
        <f aca="false">CONCATENATE(B95," ",C95)</f>
        <v>dynastar glory</v>
      </c>
      <c r="K95" s="5" t="str">
        <f aca="false">IF(D95&lt;80,VLOOKUP(D95,R:S,2,FALSE()),CONCATENATE(D95," cm"))</f>
        <v>142 cm</v>
      </c>
      <c r="L95" s="17" t="n">
        <f aca="false">E95</f>
        <v>110</v>
      </c>
    </row>
    <row r="96" customFormat="false" ht="15" hidden="false" customHeight="false" outlineLevel="0" collapsed="false">
      <c r="A96" s="12" t="s">
        <v>204</v>
      </c>
      <c r="B96" s="13" t="s">
        <v>105</v>
      </c>
      <c r="C96" s="14" t="s">
        <v>196</v>
      </c>
      <c r="D96" s="15" t="n">
        <v>149</v>
      </c>
      <c r="E96" s="16" t="n">
        <v>110</v>
      </c>
      <c r="F96" s="13" t="s">
        <v>34</v>
      </c>
      <c r="G96" s="15" t="n">
        <v>1</v>
      </c>
      <c r="H96" s="5" t="str">
        <f aca="false">SUBSTITUTE(A96,"MS","",1)</f>
        <v>52929</v>
      </c>
      <c r="I96" s="5" t="str">
        <f aca="false">VLOOKUP(F96,O:P,2,FALSE())</f>
        <v>Skis Alpin </v>
      </c>
      <c r="J96" s="5" t="str">
        <f aca="false">CONCATENATE(B96," ",C96)</f>
        <v>dynastar glory</v>
      </c>
      <c r="K96" s="5" t="str">
        <f aca="false">IF(D96&lt;80,VLOOKUP(D96,R:S,2,FALSE()),CONCATENATE(D96," cm"))</f>
        <v>149 cm</v>
      </c>
      <c r="L96" s="17" t="n">
        <f aca="false">E96</f>
        <v>110</v>
      </c>
    </row>
    <row r="97" customFormat="false" ht="15" hidden="false" customHeight="false" outlineLevel="0" collapsed="false">
      <c r="A97" s="12" t="s">
        <v>205</v>
      </c>
      <c r="B97" s="13" t="s">
        <v>105</v>
      </c>
      <c r="C97" s="14" t="s">
        <v>206</v>
      </c>
      <c r="D97" s="15" t="n">
        <v>153</v>
      </c>
      <c r="E97" s="16" t="n">
        <v>125</v>
      </c>
      <c r="F97" s="13" t="s">
        <v>38</v>
      </c>
      <c r="G97" s="15" t="n">
        <v>1</v>
      </c>
      <c r="H97" s="5" t="str">
        <f aca="false">SUBSTITUTE(A97,"MS","",1)</f>
        <v>52930</v>
      </c>
      <c r="I97" s="5" t="str">
        <f aca="false">VLOOKUP(F97,O:P,2,FALSE())</f>
        <v>Skis Alpin </v>
      </c>
      <c r="J97" s="5" t="str">
        <f aca="false">CONCATENATE(B97," ",C97)</f>
        <v>dynastar speed gt</v>
      </c>
      <c r="K97" s="5" t="str">
        <f aca="false">IF(D97&lt;80,VLOOKUP(D97,R:S,2,FALSE()),CONCATENATE(D97," cm"))</f>
        <v>153 cm</v>
      </c>
      <c r="L97" s="17" t="n">
        <f aca="false">E97</f>
        <v>125</v>
      </c>
    </row>
    <row r="98" customFormat="false" ht="15" hidden="false" customHeight="false" outlineLevel="0" collapsed="false">
      <c r="A98" s="12" t="s">
        <v>207</v>
      </c>
      <c r="B98" s="13" t="s">
        <v>105</v>
      </c>
      <c r="C98" s="14" t="s">
        <v>208</v>
      </c>
      <c r="D98" s="15" t="n">
        <v>150</v>
      </c>
      <c r="E98" s="16" t="n">
        <v>135</v>
      </c>
      <c r="F98" s="13" t="s">
        <v>34</v>
      </c>
      <c r="G98" s="15" t="n">
        <v>1</v>
      </c>
      <c r="H98" s="5" t="str">
        <f aca="false">SUBSTITUTE(A98,"MS","",1)</f>
        <v>52931</v>
      </c>
      <c r="I98" s="5" t="str">
        <f aca="false">VLOOKUP(F98,O:P,2,FALSE())</f>
        <v>Skis Alpin </v>
      </c>
      <c r="J98" s="5" t="str">
        <f aca="false">CONCATENATE(B98," ",C98)</f>
        <v>dynastar intense</v>
      </c>
      <c r="K98" s="5" t="str">
        <f aca="false">IF(D98&lt;80,VLOOKUP(D98,R:S,2,FALSE()),CONCATENATE(D98," cm"))</f>
        <v>150 cm</v>
      </c>
      <c r="L98" s="17" t="n">
        <f aca="false">E98</f>
        <v>135</v>
      </c>
    </row>
    <row r="99" customFormat="false" ht="15" hidden="false" customHeight="false" outlineLevel="0" collapsed="false">
      <c r="A99" s="12" t="s">
        <v>209</v>
      </c>
      <c r="B99" s="13" t="s">
        <v>28</v>
      </c>
      <c r="C99" s="14" t="s">
        <v>210</v>
      </c>
      <c r="D99" s="15" t="n">
        <v>156</v>
      </c>
      <c r="E99" s="16" t="n">
        <v>125</v>
      </c>
      <c r="F99" s="13" t="s">
        <v>34</v>
      </c>
      <c r="G99" s="15" t="n">
        <v>1</v>
      </c>
      <c r="H99" s="5" t="str">
        <f aca="false">SUBSTITUTE(A99,"MS","",1)</f>
        <v>52932</v>
      </c>
      <c r="I99" s="5" t="str">
        <f aca="false">VLOOKUP(F99,O:P,2,FALSE())</f>
        <v>Skis Alpin </v>
      </c>
      <c r="J99" s="5" t="str">
        <f aca="false">CONCATENATE(B99," ",C99)</f>
        <v>Rossignol famous</v>
      </c>
      <c r="K99" s="5" t="str">
        <f aca="false">IF(D99&lt;80,VLOOKUP(D99,R:S,2,FALSE()),CONCATENATE(D99," cm"))</f>
        <v>156 cm</v>
      </c>
      <c r="L99" s="17" t="n">
        <f aca="false">E99</f>
        <v>125</v>
      </c>
    </row>
    <row r="100" customFormat="false" ht="15" hidden="false" customHeight="false" outlineLevel="0" collapsed="false">
      <c r="A100" s="12" t="s">
        <v>211</v>
      </c>
      <c r="B100" s="13" t="s">
        <v>28</v>
      </c>
      <c r="C100" s="14" t="s">
        <v>210</v>
      </c>
      <c r="D100" s="15" t="n">
        <v>156</v>
      </c>
      <c r="E100" s="16" t="n">
        <v>125</v>
      </c>
      <c r="F100" s="13" t="s">
        <v>34</v>
      </c>
      <c r="G100" s="15" t="n">
        <v>1</v>
      </c>
      <c r="H100" s="5" t="str">
        <f aca="false">SUBSTITUTE(A100,"MS","",1)</f>
        <v>52933</v>
      </c>
      <c r="I100" s="5" t="str">
        <f aca="false">VLOOKUP(F100,O:P,2,FALSE())</f>
        <v>Skis Alpin </v>
      </c>
      <c r="J100" s="5" t="str">
        <f aca="false">CONCATENATE(B100," ",C100)</f>
        <v>Rossignol famous</v>
      </c>
      <c r="K100" s="5" t="str">
        <f aca="false">IF(D100&lt;80,VLOOKUP(D100,R:S,2,FALSE()),CONCATENATE(D100," cm"))</f>
        <v>156 cm</v>
      </c>
      <c r="L100" s="17" t="n">
        <f aca="false">E100</f>
        <v>125</v>
      </c>
    </row>
    <row r="101" customFormat="false" ht="15" hidden="false" customHeight="false" outlineLevel="0" collapsed="false">
      <c r="A101" s="12" t="s">
        <v>212</v>
      </c>
      <c r="B101" s="13" t="s">
        <v>28</v>
      </c>
      <c r="C101" s="14" t="s">
        <v>210</v>
      </c>
      <c r="D101" s="15" t="n">
        <v>149</v>
      </c>
      <c r="E101" s="16" t="n">
        <v>125</v>
      </c>
      <c r="F101" s="13" t="s">
        <v>34</v>
      </c>
      <c r="G101" s="15" t="n">
        <v>1</v>
      </c>
      <c r="H101" s="5" t="str">
        <f aca="false">SUBSTITUTE(A101,"MS","",1)</f>
        <v>52934</v>
      </c>
      <c r="I101" s="5" t="str">
        <f aca="false">VLOOKUP(F101,O:P,2,FALSE())</f>
        <v>Skis Alpin </v>
      </c>
      <c r="J101" s="5" t="str">
        <f aca="false">CONCATENATE(B101," ",C101)</f>
        <v>Rossignol famous</v>
      </c>
      <c r="K101" s="5" t="str">
        <f aca="false">IF(D101&lt;80,VLOOKUP(D101,R:S,2,FALSE()),CONCATENATE(D101," cm"))</f>
        <v>149 cm</v>
      </c>
      <c r="L101" s="17" t="n">
        <f aca="false">E101</f>
        <v>125</v>
      </c>
    </row>
    <row r="102" customFormat="false" ht="15" hidden="false" customHeight="false" outlineLevel="0" collapsed="false">
      <c r="A102" s="12" t="s">
        <v>213</v>
      </c>
      <c r="B102" s="13" t="s">
        <v>28</v>
      </c>
      <c r="C102" s="14" t="s">
        <v>210</v>
      </c>
      <c r="D102" s="15" t="n">
        <v>149</v>
      </c>
      <c r="E102" s="16" t="n">
        <v>110</v>
      </c>
      <c r="F102" s="13" t="s">
        <v>34</v>
      </c>
      <c r="G102" s="15" t="n">
        <v>1</v>
      </c>
      <c r="H102" s="5" t="str">
        <f aca="false">SUBSTITUTE(A102,"MS","",1)</f>
        <v>52935</v>
      </c>
      <c r="I102" s="5" t="str">
        <f aca="false">VLOOKUP(F102,O:P,2,FALSE())</f>
        <v>Skis Alpin </v>
      </c>
      <c r="J102" s="5" t="str">
        <f aca="false">CONCATENATE(B102," ",C102)</f>
        <v>Rossignol famous</v>
      </c>
      <c r="K102" s="5" t="str">
        <f aca="false">IF(D102&lt;80,VLOOKUP(D102,R:S,2,FALSE()),CONCATENATE(D102," cm"))</f>
        <v>149 cm</v>
      </c>
      <c r="L102" s="17" t="n">
        <f aca="false">E102</f>
        <v>110</v>
      </c>
    </row>
    <row r="103" customFormat="false" ht="15" hidden="false" customHeight="false" outlineLevel="0" collapsed="false">
      <c r="A103" s="12" t="s">
        <v>214</v>
      </c>
      <c r="B103" s="13" t="s">
        <v>28</v>
      </c>
      <c r="C103" s="14" t="s">
        <v>210</v>
      </c>
      <c r="D103" s="15" t="n">
        <v>142</v>
      </c>
      <c r="E103" s="16" t="n">
        <v>110</v>
      </c>
      <c r="F103" s="13" t="s">
        <v>34</v>
      </c>
      <c r="G103" s="15" t="n">
        <v>1</v>
      </c>
      <c r="H103" s="5" t="str">
        <f aca="false">SUBSTITUTE(A103,"MS","",1)</f>
        <v>52936</v>
      </c>
      <c r="I103" s="5" t="str">
        <f aca="false">VLOOKUP(F103,O:P,2,FALSE())</f>
        <v>Skis Alpin </v>
      </c>
      <c r="J103" s="5" t="str">
        <f aca="false">CONCATENATE(B103," ",C103)</f>
        <v>Rossignol famous</v>
      </c>
      <c r="K103" s="5" t="str">
        <f aca="false">IF(D103&lt;80,VLOOKUP(D103,R:S,2,FALSE()),CONCATENATE(D103," cm"))</f>
        <v>142 cm</v>
      </c>
      <c r="L103" s="17" t="n">
        <f aca="false">E103</f>
        <v>110</v>
      </c>
    </row>
    <row r="104" customFormat="false" ht="15" hidden="false" customHeight="false" outlineLevel="0" collapsed="false">
      <c r="A104" s="12" t="s">
        <v>215</v>
      </c>
      <c r="B104" s="13" t="s">
        <v>28</v>
      </c>
      <c r="C104" s="14" t="s">
        <v>216</v>
      </c>
      <c r="D104" s="15" t="n">
        <v>153</v>
      </c>
      <c r="E104" s="16" t="n">
        <v>145</v>
      </c>
      <c r="F104" s="13" t="s">
        <v>34</v>
      </c>
      <c r="G104" s="15" t="n">
        <v>1</v>
      </c>
      <c r="H104" s="5" t="str">
        <f aca="false">SUBSTITUTE(A104,"MS","",1)</f>
        <v>52937</v>
      </c>
      <c r="I104" s="5" t="str">
        <f aca="false">VLOOKUP(F104,O:P,2,FALSE())</f>
        <v>Skis Alpin </v>
      </c>
      <c r="J104" s="5" t="str">
        <f aca="false">CONCATENATE(B104," ",C104)</f>
        <v>Rossignol nova 10</v>
      </c>
      <c r="K104" s="5" t="str">
        <f aca="false">IF(D104&lt;80,VLOOKUP(D104,R:S,2,FALSE()),CONCATENATE(D104," cm"))</f>
        <v>153 cm</v>
      </c>
      <c r="L104" s="17" t="n">
        <f aca="false">E104</f>
        <v>145</v>
      </c>
    </row>
    <row r="105" customFormat="false" ht="15" hidden="false" customHeight="false" outlineLevel="0" collapsed="false">
      <c r="A105" s="12" t="s">
        <v>217</v>
      </c>
      <c r="B105" s="13" t="s">
        <v>28</v>
      </c>
      <c r="C105" s="14" t="s">
        <v>216</v>
      </c>
      <c r="D105" s="15" t="n">
        <v>160</v>
      </c>
      <c r="E105" s="16" t="n">
        <v>145</v>
      </c>
      <c r="F105" s="13" t="s">
        <v>34</v>
      </c>
      <c r="G105" s="15" t="n">
        <v>1</v>
      </c>
      <c r="H105" s="5" t="str">
        <f aca="false">SUBSTITUTE(A105,"MS","",1)</f>
        <v>52938</v>
      </c>
      <c r="I105" s="5" t="str">
        <f aca="false">VLOOKUP(F105,O:P,2,FALSE())</f>
        <v>Skis Alpin </v>
      </c>
      <c r="J105" s="5" t="str">
        <f aca="false">CONCATENATE(B105," ",C105)</f>
        <v>Rossignol nova 10</v>
      </c>
      <c r="K105" s="5" t="str">
        <f aca="false">IF(D105&lt;80,VLOOKUP(D105,R:S,2,FALSE()),CONCATENATE(D105," cm"))</f>
        <v>160 cm</v>
      </c>
      <c r="L105" s="17" t="n">
        <f aca="false">E105</f>
        <v>145</v>
      </c>
    </row>
    <row r="106" customFormat="false" ht="15" hidden="false" customHeight="false" outlineLevel="0" collapsed="false">
      <c r="A106" s="12" t="s">
        <v>218</v>
      </c>
      <c r="B106" s="13" t="s">
        <v>28</v>
      </c>
      <c r="C106" s="14" t="s">
        <v>29</v>
      </c>
      <c r="D106" s="15" t="n">
        <v>163</v>
      </c>
      <c r="E106" s="16" t="n">
        <v>125</v>
      </c>
      <c r="F106" s="13" t="s">
        <v>38</v>
      </c>
      <c r="G106" s="15" t="n">
        <v>1</v>
      </c>
      <c r="H106" s="5" t="str">
        <f aca="false">SUBSTITUTE(A106,"MS","",1)</f>
        <v>52939</v>
      </c>
      <c r="I106" s="5" t="str">
        <f aca="false">VLOOKUP(F106,O:P,2,FALSE())</f>
        <v>Skis Alpin </v>
      </c>
      <c r="J106" s="5" t="str">
        <f aca="false">CONCATENATE(B106," ",C106)</f>
        <v>Rossignol pursuit</v>
      </c>
      <c r="K106" s="5" t="str">
        <f aca="false">IF(D106&lt;80,VLOOKUP(D106,R:S,2,FALSE()),CONCATENATE(D106," cm"))</f>
        <v>163 cm</v>
      </c>
      <c r="L106" s="17" t="n">
        <f aca="false">E106</f>
        <v>125</v>
      </c>
    </row>
    <row r="107" customFormat="false" ht="15" hidden="false" customHeight="false" outlineLevel="0" collapsed="false">
      <c r="A107" s="12" t="s">
        <v>219</v>
      </c>
      <c r="B107" s="13" t="s">
        <v>28</v>
      </c>
      <c r="C107" s="14" t="s">
        <v>29</v>
      </c>
      <c r="D107" s="15" t="n">
        <v>163</v>
      </c>
      <c r="E107" s="16" t="n">
        <v>125</v>
      </c>
      <c r="F107" s="13" t="s">
        <v>38</v>
      </c>
      <c r="G107" s="15" t="n">
        <v>1</v>
      </c>
      <c r="H107" s="5" t="str">
        <f aca="false">SUBSTITUTE(A107,"MS","",1)</f>
        <v>52940</v>
      </c>
      <c r="I107" s="5" t="str">
        <f aca="false">VLOOKUP(F107,O:P,2,FALSE())</f>
        <v>Skis Alpin </v>
      </c>
      <c r="J107" s="5" t="str">
        <f aca="false">CONCATENATE(B107," ",C107)</f>
        <v>Rossignol pursuit</v>
      </c>
      <c r="K107" s="5" t="str">
        <f aca="false">IF(D107&lt;80,VLOOKUP(D107,R:S,2,FALSE()),CONCATENATE(D107," cm"))</f>
        <v>163 cm</v>
      </c>
      <c r="L107" s="17" t="n">
        <f aca="false">E107</f>
        <v>125</v>
      </c>
    </row>
    <row r="108" customFormat="false" ht="15" hidden="false" customHeight="false" outlineLevel="0" collapsed="false">
      <c r="A108" s="12" t="s">
        <v>220</v>
      </c>
      <c r="B108" s="13" t="s">
        <v>28</v>
      </c>
      <c r="C108" s="14" t="s">
        <v>29</v>
      </c>
      <c r="D108" s="15" t="n">
        <v>142</v>
      </c>
      <c r="E108" s="16" t="n">
        <v>125</v>
      </c>
      <c r="F108" s="13" t="s">
        <v>38</v>
      </c>
      <c r="G108" s="15" t="n">
        <v>1</v>
      </c>
      <c r="H108" s="5" t="str">
        <f aca="false">SUBSTITUTE(A108,"MS","",1)</f>
        <v>52941</v>
      </c>
      <c r="I108" s="5" t="str">
        <f aca="false">VLOOKUP(F108,O:P,2,FALSE())</f>
        <v>Skis Alpin </v>
      </c>
      <c r="J108" s="5" t="str">
        <f aca="false">CONCATENATE(B108," ",C108)</f>
        <v>Rossignol pursuit</v>
      </c>
      <c r="K108" s="5" t="str">
        <f aca="false">IF(D108&lt;80,VLOOKUP(D108,R:S,2,FALSE()),CONCATENATE(D108," cm"))</f>
        <v>142 cm</v>
      </c>
      <c r="L108" s="17" t="n">
        <f aca="false">E108</f>
        <v>125</v>
      </c>
    </row>
    <row r="109" customFormat="false" ht="15" hidden="false" customHeight="false" outlineLevel="0" collapsed="false">
      <c r="A109" s="12" t="s">
        <v>221</v>
      </c>
      <c r="B109" s="13" t="s">
        <v>28</v>
      </c>
      <c r="C109" s="14" t="s">
        <v>29</v>
      </c>
      <c r="D109" s="15" t="n">
        <v>142</v>
      </c>
      <c r="E109" s="16" t="n">
        <v>125</v>
      </c>
      <c r="F109" s="13" t="s">
        <v>38</v>
      </c>
      <c r="G109" s="15" t="n">
        <v>1</v>
      </c>
      <c r="H109" s="5" t="str">
        <f aca="false">SUBSTITUTE(A109,"MS","",1)</f>
        <v>52942</v>
      </c>
      <c r="I109" s="5" t="str">
        <f aca="false">VLOOKUP(F109,O:P,2,FALSE())</f>
        <v>Skis Alpin </v>
      </c>
      <c r="J109" s="5" t="str">
        <f aca="false">CONCATENATE(B109," ",C109)</f>
        <v>Rossignol pursuit</v>
      </c>
      <c r="K109" s="5" t="str">
        <f aca="false">IF(D109&lt;80,VLOOKUP(D109,R:S,2,FALSE()),CONCATENATE(D109," cm"))</f>
        <v>142 cm</v>
      </c>
      <c r="L109" s="17" t="n">
        <f aca="false">E109</f>
        <v>125</v>
      </c>
    </row>
    <row r="110" customFormat="false" ht="15" hidden="false" customHeight="false" outlineLevel="0" collapsed="false">
      <c r="A110" s="12" t="s">
        <v>222</v>
      </c>
      <c r="B110" s="13" t="s">
        <v>73</v>
      </c>
      <c r="C110" s="14" t="s">
        <v>223</v>
      </c>
      <c r="D110" s="15" t="n">
        <v>151</v>
      </c>
      <c r="E110" s="16" t="n">
        <v>115</v>
      </c>
      <c r="F110" s="13" t="s">
        <v>34</v>
      </c>
      <c r="G110" s="15" t="n">
        <v>1</v>
      </c>
      <c r="H110" s="5" t="str">
        <f aca="false">SUBSTITUTE(A110,"MS","",1)</f>
        <v>52943</v>
      </c>
      <c r="I110" s="5" t="str">
        <f aca="false">VLOOKUP(F110,O:P,2,FALSE())</f>
        <v>Skis Alpin </v>
      </c>
      <c r="J110" s="5" t="str">
        <f aca="false">CONCATENATE(B110," ",C110)</f>
        <v>volkl flair</v>
      </c>
      <c r="K110" s="5" t="str">
        <f aca="false">IF(D110&lt;80,VLOOKUP(D110,R:S,2,FALSE()),CONCATENATE(D110," cm"))</f>
        <v>151 cm</v>
      </c>
      <c r="L110" s="17" t="n">
        <f aca="false">E110</f>
        <v>115</v>
      </c>
    </row>
    <row r="111" customFormat="false" ht="15" hidden="false" customHeight="false" outlineLevel="0" collapsed="false">
      <c r="A111" s="12" t="s">
        <v>224</v>
      </c>
      <c r="B111" s="13" t="s">
        <v>73</v>
      </c>
      <c r="C111" s="14" t="s">
        <v>223</v>
      </c>
      <c r="D111" s="15" t="n">
        <v>149</v>
      </c>
      <c r="E111" s="16" t="n">
        <v>125</v>
      </c>
      <c r="F111" s="13" t="s">
        <v>34</v>
      </c>
      <c r="G111" s="15" t="n">
        <v>1</v>
      </c>
      <c r="H111" s="5" t="str">
        <f aca="false">SUBSTITUTE(A111,"MS","",1)</f>
        <v>52944</v>
      </c>
      <c r="I111" s="5" t="str">
        <f aca="false">VLOOKUP(F111,O:P,2,FALSE())</f>
        <v>Skis Alpin </v>
      </c>
      <c r="J111" s="5" t="str">
        <f aca="false">CONCATENATE(B111," ",C111)</f>
        <v>volkl flair</v>
      </c>
      <c r="K111" s="5" t="str">
        <f aca="false">IF(D111&lt;80,VLOOKUP(D111,R:S,2,FALSE()),CONCATENATE(D111," cm"))</f>
        <v>149 cm</v>
      </c>
      <c r="L111" s="17" t="n">
        <f aca="false">E111</f>
        <v>125</v>
      </c>
    </row>
    <row r="112" customFormat="false" ht="15" hidden="false" customHeight="false" outlineLevel="0" collapsed="false">
      <c r="A112" s="12" t="s">
        <v>225</v>
      </c>
      <c r="B112" s="13" t="s">
        <v>73</v>
      </c>
      <c r="C112" s="14" t="s">
        <v>223</v>
      </c>
      <c r="D112" s="15" t="n">
        <v>151</v>
      </c>
      <c r="E112" s="16" t="n">
        <v>135</v>
      </c>
      <c r="F112" s="13" t="s">
        <v>34</v>
      </c>
      <c r="G112" s="15" t="n">
        <v>1</v>
      </c>
      <c r="H112" s="5" t="str">
        <f aca="false">SUBSTITUTE(A112,"MS","",1)</f>
        <v>52945</v>
      </c>
      <c r="I112" s="5" t="str">
        <f aca="false">VLOOKUP(F112,O:P,2,FALSE())</f>
        <v>Skis Alpin </v>
      </c>
      <c r="J112" s="5" t="str">
        <f aca="false">CONCATENATE(B112," ",C112)</f>
        <v>volkl flair</v>
      </c>
      <c r="K112" s="5" t="str">
        <f aca="false">IF(D112&lt;80,VLOOKUP(D112,R:S,2,FALSE()),CONCATENATE(D112," cm"))</f>
        <v>151 cm</v>
      </c>
      <c r="L112" s="17" t="n">
        <f aca="false">E112</f>
        <v>135</v>
      </c>
    </row>
    <row r="113" customFormat="false" ht="15" hidden="false" customHeight="false" outlineLevel="0" collapsed="false">
      <c r="A113" s="12" t="s">
        <v>226</v>
      </c>
      <c r="B113" s="13" t="s">
        <v>73</v>
      </c>
      <c r="C113" s="14" t="s">
        <v>223</v>
      </c>
      <c r="D113" s="15" t="n">
        <v>147</v>
      </c>
      <c r="E113" s="16" t="n">
        <v>135</v>
      </c>
      <c r="F113" s="13" t="s">
        <v>34</v>
      </c>
      <c r="G113" s="15" t="n">
        <v>1</v>
      </c>
      <c r="H113" s="5" t="str">
        <f aca="false">SUBSTITUTE(A113,"MS","",1)</f>
        <v>52946</v>
      </c>
      <c r="I113" s="5" t="str">
        <f aca="false">VLOOKUP(F113,O:P,2,FALSE())</f>
        <v>Skis Alpin </v>
      </c>
      <c r="J113" s="5" t="str">
        <f aca="false">CONCATENATE(B113," ",C113)</f>
        <v>volkl flair</v>
      </c>
      <c r="K113" s="5" t="str">
        <f aca="false">IF(D113&lt;80,VLOOKUP(D113,R:S,2,FALSE()),CONCATENATE(D113," cm"))</f>
        <v>147 cm</v>
      </c>
      <c r="L113" s="17" t="n">
        <f aca="false">E113</f>
        <v>135</v>
      </c>
    </row>
    <row r="114" customFormat="false" ht="15" hidden="false" customHeight="false" outlineLevel="0" collapsed="false">
      <c r="A114" s="12" t="s">
        <v>227</v>
      </c>
      <c r="B114" s="13" t="s">
        <v>73</v>
      </c>
      <c r="C114" s="14" t="s">
        <v>74</v>
      </c>
      <c r="D114" s="15" t="n">
        <v>149</v>
      </c>
      <c r="E114" s="16" t="n">
        <v>135</v>
      </c>
      <c r="F114" s="13" t="s">
        <v>34</v>
      </c>
      <c r="G114" s="15" t="n">
        <v>1</v>
      </c>
      <c r="H114" s="5" t="str">
        <f aca="false">SUBSTITUTE(A114,"MS","",1)</f>
        <v>52947</v>
      </c>
      <c r="I114" s="5" t="str">
        <f aca="false">VLOOKUP(F114,O:P,2,FALSE())</f>
        <v>Skis Alpin </v>
      </c>
      <c r="J114" s="5" t="str">
        <f aca="false">CONCATENATE(B114," ",C114)</f>
        <v>volkl rtm</v>
      </c>
      <c r="K114" s="5" t="str">
        <f aca="false">IF(D114&lt;80,VLOOKUP(D114,R:S,2,FALSE()),CONCATENATE(D114," cm"))</f>
        <v>149 cm</v>
      </c>
      <c r="L114" s="17" t="n">
        <f aca="false">E114</f>
        <v>135</v>
      </c>
    </row>
    <row r="115" customFormat="false" ht="15" hidden="false" customHeight="false" outlineLevel="0" collapsed="false">
      <c r="A115" s="12" t="s">
        <v>228</v>
      </c>
      <c r="B115" s="13" t="s">
        <v>73</v>
      </c>
      <c r="C115" s="14" t="s">
        <v>223</v>
      </c>
      <c r="D115" s="15" t="n">
        <v>149</v>
      </c>
      <c r="E115" s="16" t="n">
        <v>135</v>
      </c>
      <c r="F115" s="13" t="s">
        <v>34</v>
      </c>
      <c r="G115" s="15" t="n">
        <v>1</v>
      </c>
      <c r="H115" s="5" t="str">
        <f aca="false">SUBSTITUTE(A115,"MS","",1)</f>
        <v>52948</v>
      </c>
      <c r="I115" s="5" t="str">
        <f aca="false">VLOOKUP(F115,O:P,2,FALSE())</f>
        <v>Skis Alpin </v>
      </c>
      <c r="J115" s="5" t="str">
        <f aca="false">CONCATENATE(B115," ",C115)</f>
        <v>volkl flair</v>
      </c>
      <c r="K115" s="5" t="str">
        <f aca="false">IF(D115&lt;80,VLOOKUP(D115,R:S,2,FALSE()),CONCATENATE(D115," cm"))</f>
        <v>149 cm</v>
      </c>
      <c r="L115" s="17" t="n">
        <f aca="false">E115</f>
        <v>135</v>
      </c>
    </row>
    <row r="116" customFormat="false" ht="15" hidden="false" customHeight="false" outlineLevel="0" collapsed="false">
      <c r="A116" s="12" t="s">
        <v>229</v>
      </c>
      <c r="B116" s="13" t="s">
        <v>132</v>
      </c>
      <c r="C116" s="14" t="s">
        <v>143</v>
      </c>
      <c r="D116" s="15" t="n">
        <v>150</v>
      </c>
      <c r="E116" s="16" t="n">
        <v>149</v>
      </c>
      <c r="F116" s="13" t="s">
        <v>34</v>
      </c>
      <c r="G116" s="15" t="n">
        <v>1</v>
      </c>
      <c r="H116" s="5" t="str">
        <f aca="false">SUBSTITUTE(A116,"MS","",1)</f>
        <v>52949</v>
      </c>
      <c r="I116" s="5" t="str">
        <f aca="false">VLOOKUP(F116,O:P,2,FALSE())</f>
        <v>Skis Alpin </v>
      </c>
      <c r="J116" s="5" t="str">
        <f aca="false">CONCATENATE(B116," ",C116)</f>
        <v>Salomon force</v>
      </c>
      <c r="K116" s="5" t="str">
        <f aca="false">IF(D116&lt;80,VLOOKUP(D116,R:S,2,FALSE()),CONCATENATE(D116," cm"))</f>
        <v>150 cm</v>
      </c>
      <c r="L116" s="17" t="n">
        <f aca="false">E116</f>
        <v>149</v>
      </c>
    </row>
    <row r="117" customFormat="false" ht="15" hidden="false" customHeight="false" outlineLevel="0" collapsed="false">
      <c r="A117" s="12" t="s">
        <v>230</v>
      </c>
      <c r="B117" s="13" t="s">
        <v>132</v>
      </c>
      <c r="C117" s="14" t="s">
        <v>138</v>
      </c>
      <c r="D117" s="15" t="n">
        <v>150</v>
      </c>
      <c r="E117" s="16" t="n">
        <v>149</v>
      </c>
      <c r="F117" s="13" t="s">
        <v>34</v>
      </c>
      <c r="G117" s="15" t="n">
        <v>1</v>
      </c>
      <c r="H117" s="5" t="str">
        <f aca="false">SUBSTITUTE(A117,"MS","",1)</f>
        <v>52950</v>
      </c>
      <c r="I117" s="5" t="str">
        <f aca="false">VLOOKUP(F117,O:P,2,FALSE())</f>
        <v>Skis Alpin </v>
      </c>
      <c r="J117" s="5" t="str">
        <f aca="false">CONCATENATE(B117," ",C117)</f>
        <v>Salomon max</v>
      </c>
      <c r="K117" s="5" t="str">
        <f aca="false">IF(D117&lt;80,VLOOKUP(D117,R:S,2,FALSE()),CONCATENATE(D117," cm"))</f>
        <v>150 cm</v>
      </c>
      <c r="L117" s="17" t="n">
        <f aca="false">E117</f>
        <v>149</v>
      </c>
    </row>
    <row r="118" customFormat="false" ht="15" hidden="false" customHeight="false" outlineLevel="0" collapsed="false">
      <c r="A118" s="12" t="s">
        <v>231</v>
      </c>
      <c r="B118" s="13" t="s">
        <v>111</v>
      </c>
      <c r="C118" s="14" t="s">
        <v>130</v>
      </c>
      <c r="D118" s="15" t="n">
        <v>152</v>
      </c>
      <c r="E118" s="16" t="n">
        <v>125</v>
      </c>
      <c r="F118" s="13" t="s">
        <v>34</v>
      </c>
      <c r="G118" s="15" t="n">
        <v>1</v>
      </c>
      <c r="H118" s="5" t="str">
        <f aca="false">SUBSTITUTE(A118,"MS","",1)</f>
        <v>52951</v>
      </c>
      <c r="I118" s="5" t="str">
        <f aca="false">VLOOKUP(F118,O:P,2,FALSE())</f>
        <v>Skis Alpin </v>
      </c>
      <c r="J118" s="5" t="str">
        <f aca="false">CONCATENATE(B118," ",C118)</f>
        <v>elan inspire</v>
      </c>
      <c r="K118" s="5" t="str">
        <f aca="false">IF(D118&lt;80,VLOOKUP(D118,R:S,2,FALSE()),CONCATENATE(D118," cm"))</f>
        <v>152 cm</v>
      </c>
      <c r="L118" s="17" t="n">
        <f aca="false">E118</f>
        <v>125</v>
      </c>
    </row>
    <row r="119" customFormat="false" ht="15" hidden="false" customHeight="false" outlineLevel="0" collapsed="false">
      <c r="A119" s="12" t="s">
        <v>232</v>
      </c>
      <c r="B119" s="13" t="s">
        <v>111</v>
      </c>
      <c r="C119" s="14" t="s">
        <v>233</v>
      </c>
      <c r="D119" s="15" t="n">
        <v>152</v>
      </c>
      <c r="E119" s="16" t="n">
        <v>125</v>
      </c>
      <c r="F119" s="13" t="s">
        <v>34</v>
      </c>
      <c r="G119" s="15" t="n">
        <v>1</v>
      </c>
      <c r="H119" s="5" t="str">
        <f aca="false">SUBSTITUTE(A119,"MS","",1)</f>
        <v>52952</v>
      </c>
      <c r="I119" s="5" t="str">
        <f aca="false">VLOOKUP(F119,O:P,2,FALSE())</f>
        <v>Skis Alpin </v>
      </c>
      <c r="J119" s="5" t="str">
        <f aca="false">CONCATENATE(B119," ",C119)</f>
        <v>elan snow</v>
      </c>
      <c r="K119" s="5" t="str">
        <f aca="false">IF(D119&lt;80,VLOOKUP(D119,R:S,2,FALSE()),CONCATENATE(D119," cm"))</f>
        <v>152 cm</v>
      </c>
      <c r="L119" s="17" t="n">
        <f aca="false">E119</f>
        <v>125</v>
      </c>
    </row>
    <row r="120" customFormat="false" ht="15" hidden="false" customHeight="false" outlineLevel="0" collapsed="false">
      <c r="A120" s="12" t="s">
        <v>234</v>
      </c>
      <c r="B120" s="13" t="s">
        <v>111</v>
      </c>
      <c r="C120" s="14" t="s">
        <v>233</v>
      </c>
      <c r="D120" s="15" t="n">
        <v>152</v>
      </c>
      <c r="E120" s="16" t="n">
        <v>125</v>
      </c>
      <c r="F120" s="13" t="s">
        <v>34</v>
      </c>
      <c r="G120" s="15" t="n">
        <v>1</v>
      </c>
      <c r="H120" s="5" t="str">
        <f aca="false">SUBSTITUTE(A120,"MS","",1)</f>
        <v>52953</v>
      </c>
      <c r="I120" s="5" t="str">
        <f aca="false">VLOOKUP(F120,O:P,2,FALSE())</f>
        <v>Skis Alpin </v>
      </c>
      <c r="J120" s="5" t="str">
        <f aca="false">CONCATENATE(B120," ",C120)</f>
        <v>elan snow</v>
      </c>
      <c r="K120" s="5" t="str">
        <f aca="false">IF(D120&lt;80,VLOOKUP(D120,R:S,2,FALSE()),CONCATENATE(D120," cm"))</f>
        <v>152 cm</v>
      </c>
      <c r="L120" s="17" t="n">
        <f aca="false">E120</f>
        <v>125</v>
      </c>
    </row>
    <row r="121" customFormat="false" ht="15" hidden="false" customHeight="false" outlineLevel="0" collapsed="false">
      <c r="A121" s="12" t="s">
        <v>235</v>
      </c>
      <c r="B121" s="13" t="s">
        <v>111</v>
      </c>
      <c r="C121" s="14" t="s">
        <v>233</v>
      </c>
      <c r="D121" s="15" t="n">
        <v>146</v>
      </c>
      <c r="E121" s="16" t="n">
        <v>125</v>
      </c>
      <c r="F121" s="13" t="s">
        <v>34</v>
      </c>
      <c r="G121" s="15" t="n">
        <v>1</v>
      </c>
      <c r="H121" s="5" t="str">
        <f aca="false">SUBSTITUTE(A121,"MS","",1)</f>
        <v>52954</v>
      </c>
      <c r="I121" s="5" t="str">
        <f aca="false">VLOOKUP(F121,O:P,2,FALSE())</f>
        <v>Skis Alpin </v>
      </c>
      <c r="J121" s="5" t="str">
        <f aca="false">CONCATENATE(B121," ",C121)</f>
        <v>elan snow</v>
      </c>
      <c r="K121" s="5" t="str">
        <f aca="false">IF(D121&lt;80,VLOOKUP(D121,R:S,2,FALSE()),CONCATENATE(D121," cm"))</f>
        <v>146 cm</v>
      </c>
      <c r="L121" s="17" t="n">
        <f aca="false">E121</f>
        <v>125</v>
      </c>
    </row>
    <row r="122" customFormat="false" ht="15" hidden="false" customHeight="false" outlineLevel="0" collapsed="false">
      <c r="A122" s="12" t="s">
        <v>236</v>
      </c>
      <c r="B122" s="13" t="s">
        <v>132</v>
      </c>
      <c r="C122" s="14" t="s">
        <v>237</v>
      </c>
      <c r="D122" s="15" t="n">
        <v>154</v>
      </c>
      <c r="E122" s="16" t="n">
        <v>129</v>
      </c>
      <c r="F122" s="13" t="s">
        <v>34</v>
      </c>
      <c r="G122" s="15" t="n">
        <v>1</v>
      </c>
      <c r="H122" s="5" t="str">
        <f aca="false">SUBSTITUTE(A122,"MS","",1)</f>
        <v>52955</v>
      </c>
      <c r="I122" s="5" t="str">
        <f aca="false">VLOOKUP(F122,O:P,2,FALSE())</f>
        <v>Skis Alpin </v>
      </c>
      <c r="J122" s="5" t="str">
        <f aca="false">CONCATENATE(B122," ",C122)</f>
        <v>Salomon astra</v>
      </c>
      <c r="K122" s="5" t="str">
        <f aca="false">IF(D122&lt;80,VLOOKUP(D122,R:S,2,FALSE()),CONCATENATE(D122," cm"))</f>
        <v>154 cm</v>
      </c>
      <c r="L122" s="17" t="n">
        <f aca="false">E122</f>
        <v>129</v>
      </c>
    </row>
    <row r="123" customFormat="false" ht="15" hidden="false" customHeight="false" outlineLevel="0" collapsed="false">
      <c r="A123" s="12" t="s">
        <v>238</v>
      </c>
      <c r="B123" s="13" t="s">
        <v>132</v>
      </c>
      <c r="C123" s="14" t="s">
        <v>237</v>
      </c>
      <c r="D123" s="15" t="n">
        <v>154</v>
      </c>
      <c r="E123" s="16" t="n">
        <v>129</v>
      </c>
      <c r="F123" s="13" t="s">
        <v>34</v>
      </c>
      <c r="G123" s="15" t="n">
        <v>1</v>
      </c>
      <c r="H123" s="5" t="str">
        <f aca="false">SUBSTITUTE(A123,"MS","",1)</f>
        <v>52956</v>
      </c>
      <c r="I123" s="5" t="str">
        <f aca="false">VLOOKUP(F123,O:P,2,FALSE())</f>
        <v>Skis Alpin </v>
      </c>
      <c r="J123" s="5" t="str">
        <f aca="false">CONCATENATE(B123," ",C123)</f>
        <v>Salomon astra</v>
      </c>
      <c r="K123" s="5" t="str">
        <f aca="false">IF(D123&lt;80,VLOOKUP(D123,R:S,2,FALSE()),CONCATENATE(D123," cm"))</f>
        <v>154 cm</v>
      </c>
      <c r="L123" s="17" t="n">
        <f aca="false">E123</f>
        <v>129</v>
      </c>
    </row>
    <row r="124" customFormat="false" ht="15" hidden="false" customHeight="false" outlineLevel="0" collapsed="false">
      <c r="A124" s="12" t="s">
        <v>239</v>
      </c>
      <c r="B124" s="13" t="s">
        <v>240</v>
      </c>
      <c r="C124" s="14" t="s">
        <v>241</v>
      </c>
      <c r="D124" s="15" t="n">
        <v>153</v>
      </c>
      <c r="E124" s="16" t="n">
        <v>115</v>
      </c>
      <c r="F124" s="13" t="s">
        <v>34</v>
      </c>
      <c r="G124" s="15" t="n">
        <v>1</v>
      </c>
      <c r="H124" s="5" t="str">
        <f aca="false">SUBSTITUTE(A124,"MS","",1)</f>
        <v>52957</v>
      </c>
      <c r="I124" s="5" t="str">
        <f aca="false">VLOOKUP(F124,O:P,2,FALSE())</f>
        <v>Skis Alpin </v>
      </c>
      <c r="J124" s="5" t="str">
        <f aca="false">CONCATENATE(B124," ",C124)</f>
        <v>head joy</v>
      </c>
      <c r="K124" s="5" t="str">
        <f aca="false">IF(D124&lt;80,VLOOKUP(D124,R:S,2,FALSE()),CONCATENATE(D124," cm"))</f>
        <v>153 cm</v>
      </c>
      <c r="L124" s="17" t="n">
        <f aca="false">E124</f>
        <v>115</v>
      </c>
    </row>
    <row r="125" customFormat="false" ht="15" hidden="false" customHeight="false" outlineLevel="0" collapsed="false">
      <c r="A125" s="12" t="s">
        <v>242</v>
      </c>
      <c r="B125" s="13" t="s">
        <v>240</v>
      </c>
      <c r="C125" s="14" t="s">
        <v>241</v>
      </c>
      <c r="D125" s="15" t="n">
        <v>153</v>
      </c>
      <c r="E125" s="16" t="n">
        <v>115</v>
      </c>
      <c r="F125" s="13" t="s">
        <v>34</v>
      </c>
      <c r="G125" s="15" t="n">
        <v>1</v>
      </c>
      <c r="H125" s="5" t="str">
        <f aca="false">SUBSTITUTE(A125,"MS","",1)</f>
        <v>52958</v>
      </c>
      <c r="I125" s="5" t="str">
        <f aca="false">VLOOKUP(F125,O:P,2,FALSE())</f>
        <v>Skis Alpin </v>
      </c>
      <c r="J125" s="5" t="str">
        <f aca="false">CONCATENATE(B125," ",C125)</f>
        <v>head joy</v>
      </c>
      <c r="K125" s="5" t="str">
        <f aca="false">IF(D125&lt;80,VLOOKUP(D125,R:S,2,FALSE()),CONCATENATE(D125," cm"))</f>
        <v>153 cm</v>
      </c>
      <c r="L125" s="17" t="n">
        <f aca="false">E125</f>
        <v>115</v>
      </c>
    </row>
    <row r="126" customFormat="false" ht="15" hidden="false" customHeight="false" outlineLevel="0" collapsed="false">
      <c r="A126" s="12" t="s">
        <v>243</v>
      </c>
      <c r="B126" s="13" t="s">
        <v>240</v>
      </c>
      <c r="C126" s="14" t="s">
        <v>241</v>
      </c>
      <c r="D126" s="15" t="n">
        <v>149</v>
      </c>
      <c r="E126" s="16" t="n">
        <v>110</v>
      </c>
      <c r="F126" s="13" t="s">
        <v>34</v>
      </c>
      <c r="G126" s="15" t="n">
        <v>1</v>
      </c>
      <c r="H126" s="5" t="str">
        <f aca="false">SUBSTITUTE(A126,"MS","",1)</f>
        <v>52959</v>
      </c>
      <c r="I126" s="5" t="str">
        <f aca="false">VLOOKUP(F126,O:P,2,FALSE())</f>
        <v>Skis Alpin </v>
      </c>
      <c r="J126" s="5" t="str">
        <f aca="false">CONCATENATE(B126," ",C126)</f>
        <v>head joy</v>
      </c>
      <c r="K126" s="5" t="str">
        <f aca="false">IF(D126&lt;80,VLOOKUP(D126,R:S,2,FALSE()),CONCATENATE(D126," cm"))</f>
        <v>149 cm</v>
      </c>
      <c r="L126" s="17" t="n">
        <f aca="false">E126</f>
        <v>110</v>
      </c>
    </row>
    <row r="127" customFormat="false" ht="15" hidden="false" customHeight="false" outlineLevel="0" collapsed="false">
      <c r="A127" s="12" t="s">
        <v>244</v>
      </c>
      <c r="B127" s="13" t="s">
        <v>240</v>
      </c>
      <c r="C127" s="14" t="s">
        <v>241</v>
      </c>
      <c r="D127" s="15" t="n">
        <v>143</v>
      </c>
      <c r="E127" s="16" t="n">
        <v>110</v>
      </c>
      <c r="F127" s="13" t="s">
        <v>34</v>
      </c>
      <c r="G127" s="15" t="n">
        <v>1</v>
      </c>
      <c r="H127" s="5" t="str">
        <f aca="false">SUBSTITUTE(A127,"MS","",1)</f>
        <v>52960</v>
      </c>
      <c r="I127" s="5" t="str">
        <f aca="false">VLOOKUP(F127,O:P,2,FALSE())</f>
        <v>Skis Alpin </v>
      </c>
      <c r="J127" s="5" t="str">
        <f aca="false">CONCATENATE(B127," ",C127)</f>
        <v>head joy</v>
      </c>
      <c r="K127" s="5" t="str">
        <f aca="false">IF(D127&lt;80,VLOOKUP(D127,R:S,2,FALSE()),CONCATENATE(D127," cm"))</f>
        <v>143 cm</v>
      </c>
      <c r="L127" s="17" t="n">
        <f aca="false">E127</f>
        <v>110</v>
      </c>
    </row>
    <row r="128" customFormat="false" ht="15" hidden="false" customHeight="false" outlineLevel="0" collapsed="false">
      <c r="A128" s="12" t="s">
        <v>245</v>
      </c>
      <c r="B128" s="13" t="s">
        <v>111</v>
      </c>
      <c r="C128" s="14" t="s">
        <v>130</v>
      </c>
      <c r="D128" s="15" t="n">
        <v>158</v>
      </c>
      <c r="E128" s="16" t="n">
        <v>125</v>
      </c>
      <c r="F128" s="13" t="s">
        <v>34</v>
      </c>
      <c r="G128" s="15" t="n">
        <v>1</v>
      </c>
      <c r="H128" s="5" t="str">
        <f aca="false">SUBSTITUTE(A128,"MS","",1)</f>
        <v>52961</v>
      </c>
      <c r="I128" s="5" t="str">
        <f aca="false">VLOOKUP(F128,O:P,2,FALSE())</f>
        <v>Skis Alpin </v>
      </c>
      <c r="J128" s="5" t="str">
        <f aca="false">CONCATENATE(B128," ",C128)</f>
        <v>elan inspire</v>
      </c>
      <c r="K128" s="5" t="str">
        <f aca="false">IF(D128&lt;80,VLOOKUP(D128,R:S,2,FALSE()),CONCATENATE(D128," cm"))</f>
        <v>158 cm</v>
      </c>
      <c r="L128" s="17" t="n">
        <f aca="false">E128</f>
        <v>125</v>
      </c>
    </row>
    <row r="129" customFormat="false" ht="15" hidden="false" customHeight="false" outlineLevel="0" collapsed="false">
      <c r="A129" s="12" t="s">
        <v>246</v>
      </c>
      <c r="B129" s="13" t="s">
        <v>111</v>
      </c>
      <c r="C129" s="14" t="s">
        <v>130</v>
      </c>
      <c r="D129" s="15" t="n">
        <v>158</v>
      </c>
      <c r="E129" s="16" t="n">
        <v>125</v>
      </c>
      <c r="F129" s="13" t="s">
        <v>34</v>
      </c>
      <c r="G129" s="15" t="n">
        <v>1</v>
      </c>
      <c r="H129" s="5" t="str">
        <f aca="false">SUBSTITUTE(A129,"MS","",1)</f>
        <v>52962</v>
      </c>
      <c r="I129" s="5" t="str">
        <f aca="false">VLOOKUP(F129,O:P,2,FALSE())</f>
        <v>Skis Alpin </v>
      </c>
      <c r="J129" s="5" t="str">
        <f aca="false">CONCATENATE(B129," ",C129)</f>
        <v>elan inspire</v>
      </c>
      <c r="K129" s="5" t="str">
        <f aca="false">IF(D129&lt;80,VLOOKUP(D129,R:S,2,FALSE()),CONCATENATE(D129," cm"))</f>
        <v>158 cm</v>
      </c>
      <c r="L129" s="17" t="n">
        <f aca="false">E129</f>
        <v>125</v>
      </c>
    </row>
    <row r="130" customFormat="false" ht="15" hidden="false" customHeight="false" outlineLevel="0" collapsed="false">
      <c r="A130" s="12" t="s">
        <v>247</v>
      </c>
      <c r="B130" s="13" t="s">
        <v>73</v>
      </c>
      <c r="C130" s="14" t="s">
        <v>77</v>
      </c>
      <c r="D130" s="15" t="n">
        <v>158</v>
      </c>
      <c r="E130" s="16" t="n">
        <v>135</v>
      </c>
      <c r="F130" s="13" t="s">
        <v>38</v>
      </c>
      <c r="G130" s="15" t="n">
        <v>1</v>
      </c>
      <c r="H130" s="5" t="str">
        <f aca="false">SUBSTITUTE(A130,"MS","",1)</f>
        <v>52963</v>
      </c>
      <c r="I130" s="5" t="str">
        <f aca="false">VLOOKUP(F130,O:P,2,FALSE())</f>
        <v>Skis Alpin </v>
      </c>
      <c r="J130" s="5" t="str">
        <f aca="false">CONCATENATE(B130," ",C130)</f>
        <v>volkl deacon</v>
      </c>
      <c r="K130" s="5" t="str">
        <f aca="false">IF(D130&lt;80,VLOOKUP(D130,R:S,2,FALSE()),CONCATENATE(D130," cm"))</f>
        <v>158 cm</v>
      </c>
      <c r="L130" s="17" t="n">
        <f aca="false">E130</f>
        <v>135</v>
      </c>
    </row>
    <row r="131" customFormat="false" ht="15" hidden="false" customHeight="false" outlineLevel="0" collapsed="false">
      <c r="A131" s="12" t="s">
        <v>248</v>
      </c>
      <c r="B131" s="13" t="s">
        <v>73</v>
      </c>
      <c r="C131" s="14" t="s">
        <v>77</v>
      </c>
      <c r="D131" s="15" t="n">
        <v>158</v>
      </c>
      <c r="E131" s="16" t="n">
        <v>135</v>
      </c>
      <c r="F131" s="13" t="s">
        <v>38</v>
      </c>
      <c r="G131" s="15" t="n">
        <v>1</v>
      </c>
      <c r="H131" s="5" t="str">
        <f aca="false">SUBSTITUTE(A131,"MS","",1)</f>
        <v>52964</v>
      </c>
      <c r="I131" s="5" t="str">
        <f aca="false">VLOOKUP(F131,O:P,2,FALSE())</f>
        <v>Skis Alpin </v>
      </c>
      <c r="J131" s="5" t="str">
        <f aca="false">CONCATENATE(B131," ",C131)</f>
        <v>volkl deacon</v>
      </c>
      <c r="K131" s="5" t="str">
        <f aca="false">IF(D131&lt;80,VLOOKUP(D131,R:S,2,FALSE()),CONCATENATE(D131," cm"))</f>
        <v>158 cm</v>
      </c>
      <c r="L131" s="17" t="n">
        <f aca="false">E131</f>
        <v>135</v>
      </c>
    </row>
    <row r="132" customFormat="false" ht="15" hidden="false" customHeight="false" outlineLevel="0" collapsed="false">
      <c r="A132" s="12" t="s">
        <v>249</v>
      </c>
      <c r="B132" s="13" t="s">
        <v>73</v>
      </c>
      <c r="C132" s="14" t="s">
        <v>74</v>
      </c>
      <c r="D132" s="15" t="n">
        <v>170</v>
      </c>
      <c r="E132" s="16" t="n">
        <v>135</v>
      </c>
      <c r="F132" s="13" t="s">
        <v>38</v>
      </c>
      <c r="G132" s="15" t="n">
        <v>1</v>
      </c>
      <c r="H132" s="5" t="str">
        <f aca="false">SUBSTITUTE(A132,"MS","",1)</f>
        <v>52965</v>
      </c>
      <c r="I132" s="5" t="str">
        <f aca="false">VLOOKUP(F132,O:P,2,FALSE())</f>
        <v>Skis Alpin </v>
      </c>
      <c r="J132" s="5" t="str">
        <f aca="false">CONCATENATE(B132," ",C132)</f>
        <v>volkl rtm</v>
      </c>
      <c r="K132" s="5" t="str">
        <f aca="false">IF(D132&lt;80,VLOOKUP(D132,R:S,2,FALSE()),CONCATENATE(D132," cm"))</f>
        <v>170 cm</v>
      </c>
      <c r="L132" s="17" t="n">
        <f aca="false">E132</f>
        <v>135</v>
      </c>
    </row>
    <row r="133" customFormat="false" ht="15" hidden="false" customHeight="false" outlineLevel="0" collapsed="false">
      <c r="A133" s="12" t="s">
        <v>250</v>
      </c>
      <c r="B133" s="13" t="s">
        <v>73</v>
      </c>
      <c r="C133" s="14" t="s">
        <v>74</v>
      </c>
      <c r="D133" s="15" t="n">
        <v>156</v>
      </c>
      <c r="E133" s="16" t="n">
        <v>135</v>
      </c>
      <c r="F133" s="13" t="s">
        <v>38</v>
      </c>
      <c r="G133" s="15" t="n">
        <v>1</v>
      </c>
      <c r="H133" s="5" t="str">
        <f aca="false">SUBSTITUTE(A133,"MS","",1)</f>
        <v>52966</v>
      </c>
      <c r="I133" s="5" t="str">
        <f aca="false">VLOOKUP(F133,O:P,2,FALSE())</f>
        <v>Skis Alpin </v>
      </c>
      <c r="J133" s="5" t="str">
        <f aca="false">CONCATENATE(B133," ",C133)</f>
        <v>volkl rtm</v>
      </c>
      <c r="K133" s="5" t="str">
        <f aca="false">IF(D133&lt;80,VLOOKUP(D133,R:S,2,FALSE()),CONCATENATE(D133," cm"))</f>
        <v>156 cm</v>
      </c>
      <c r="L133" s="17" t="n">
        <f aca="false">E133</f>
        <v>135</v>
      </c>
    </row>
    <row r="134" customFormat="false" ht="15" hidden="false" customHeight="false" outlineLevel="0" collapsed="false">
      <c r="A134" s="12" t="s">
        <v>251</v>
      </c>
      <c r="B134" s="13" t="s">
        <v>28</v>
      </c>
      <c r="C134" s="14" t="s">
        <v>181</v>
      </c>
      <c r="D134" s="15" t="n">
        <v>160</v>
      </c>
      <c r="E134" s="16" t="n">
        <v>149</v>
      </c>
      <c r="F134" s="13" t="s">
        <v>34</v>
      </c>
      <c r="G134" s="15" t="n">
        <v>1</v>
      </c>
      <c r="H134" s="5" t="str">
        <f aca="false">SUBSTITUTE(A134,"MS","",1)</f>
        <v>52967</v>
      </c>
      <c r="I134" s="5" t="str">
        <f aca="false">VLOOKUP(F134,O:P,2,FALSE())</f>
        <v>Skis Alpin </v>
      </c>
      <c r="J134" s="5" t="str">
        <f aca="false">CONCATENATE(B134," ",C134)</f>
        <v>Rossignol exp 84</v>
      </c>
      <c r="K134" s="5" t="str">
        <f aca="false">IF(D134&lt;80,VLOOKUP(D134,R:S,2,FALSE()),CONCATENATE(D134," cm"))</f>
        <v>160 cm</v>
      </c>
      <c r="L134" s="17" t="n">
        <f aca="false">E134</f>
        <v>149</v>
      </c>
    </row>
    <row r="135" customFormat="false" ht="15" hidden="false" customHeight="false" outlineLevel="0" collapsed="false">
      <c r="A135" s="12" t="s">
        <v>252</v>
      </c>
      <c r="B135" s="13" t="s">
        <v>28</v>
      </c>
      <c r="C135" s="14" t="s">
        <v>181</v>
      </c>
      <c r="D135" s="15" t="n">
        <v>160</v>
      </c>
      <c r="E135" s="16" t="n">
        <v>149</v>
      </c>
      <c r="F135" s="13" t="s">
        <v>34</v>
      </c>
      <c r="G135" s="15" t="n">
        <v>1</v>
      </c>
      <c r="H135" s="5" t="str">
        <f aca="false">SUBSTITUTE(A135,"MS","",1)</f>
        <v>52968</v>
      </c>
      <c r="I135" s="5" t="str">
        <f aca="false">VLOOKUP(F135,O:P,2,FALSE())</f>
        <v>Skis Alpin </v>
      </c>
      <c r="J135" s="5" t="str">
        <f aca="false">CONCATENATE(B135," ",C135)</f>
        <v>Rossignol exp 84</v>
      </c>
      <c r="K135" s="5" t="str">
        <f aca="false">IF(D135&lt;80,VLOOKUP(D135,R:S,2,FALSE()),CONCATENATE(D135," cm"))</f>
        <v>160 cm</v>
      </c>
      <c r="L135" s="17" t="n">
        <f aca="false">E135</f>
        <v>149</v>
      </c>
    </row>
    <row r="136" customFormat="false" ht="15" hidden="false" customHeight="false" outlineLevel="0" collapsed="false">
      <c r="A136" s="12" t="s">
        <v>253</v>
      </c>
      <c r="B136" s="13" t="s">
        <v>28</v>
      </c>
      <c r="C136" s="14" t="s">
        <v>96</v>
      </c>
      <c r="D136" s="15" t="n">
        <v>166</v>
      </c>
      <c r="E136" s="16" t="n">
        <v>169</v>
      </c>
      <c r="F136" s="13" t="s">
        <v>34</v>
      </c>
      <c r="G136" s="15" t="n">
        <v>1</v>
      </c>
      <c r="H136" s="5" t="str">
        <f aca="false">SUBSTITUTE(A136,"MS","",1)</f>
        <v>52969</v>
      </c>
      <c r="I136" s="5" t="str">
        <f aca="false">VLOOKUP(F136,O:P,2,FALSE())</f>
        <v>Skis Alpin </v>
      </c>
      <c r="J136" s="5" t="str">
        <f aca="false">CONCATENATE(B136," ",C136)</f>
        <v>Rossignol exp 80</v>
      </c>
      <c r="K136" s="5" t="str">
        <f aca="false">IF(D136&lt;80,VLOOKUP(D136,R:S,2,FALSE()),CONCATENATE(D136," cm"))</f>
        <v>166 cm</v>
      </c>
      <c r="L136" s="17" t="n">
        <f aca="false">E136</f>
        <v>169</v>
      </c>
    </row>
    <row r="137" customFormat="false" ht="15" hidden="false" customHeight="false" outlineLevel="0" collapsed="false">
      <c r="A137" s="12" t="s">
        <v>254</v>
      </c>
      <c r="B137" s="13" t="s">
        <v>28</v>
      </c>
      <c r="C137" s="14" t="s">
        <v>50</v>
      </c>
      <c r="D137" s="15" t="n">
        <v>170</v>
      </c>
      <c r="E137" s="16" t="n">
        <v>145</v>
      </c>
      <c r="F137" s="13" t="s">
        <v>38</v>
      </c>
      <c r="G137" s="15" t="n">
        <v>1</v>
      </c>
      <c r="H137" s="5" t="str">
        <f aca="false">SUBSTITUTE(A137,"MS","",1)</f>
        <v>52970</v>
      </c>
      <c r="I137" s="5" t="str">
        <f aca="false">VLOOKUP(F137,O:P,2,FALSE())</f>
        <v>Skis Alpin </v>
      </c>
      <c r="J137" s="5" t="str">
        <f aca="false">CONCATENATE(B137," ",C137)</f>
        <v>Rossignol react</v>
      </c>
      <c r="K137" s="5" t="str">
        <f aca="false">IF(D137&lt;80,VLOOKUP(D137,R:S,2,FALSE()),CONCATENATE(D137," cm"))</f>
        <v>170 cm</v>
      </c>
      <c r="L137" s="17" t="n">
        <f aca="false">E137</f>
        <v>145</v>
      </c>
    </row>
    <row r="138" customFormat="false" ht="15" hidden="false" customHeight="false" outlineLevel="0" collapsed="false">
      <c r="A138" s="12" t="s">
        <v>255</v>
      </c>
      <c r="B138" s="13" t="s">
        <v>105</v>
      </c>
      <c r="C138" s="14" t="s">
        <v>256</v>
      </c>
      <c r="D138" s="15" t="n">
        <v>162</v>
      </c>
      <c r="E138" s="16" t="n">
        <v>169</v>
      </c>
      <c r="F138" s="13" t="s">
        <v>34</v>
      </c>
      <c r="G138" s="15" t="n">
        <v>1</v>
      </c>
      <c r="H138" s="5" t="str">
        <f aca="false">SUBSTITUTE(A138,"MS","",1)</f>
        <v>52971</v>
      </c>
      <c r="I138" s="5" t="str">
        <f aca="false">VLOOKUP(F138,O:P,2,FALSE())</f>
        <v>Skis Alpin </v>
      </c>
      <c r="J138" s="5" t="str">
        <f aca="false">CONCATENATE(B138," ",C138)</f>
        <v>dynastar m free</v>
      </c>
      <c r="K138" s="5" t="str">
        <f aca="false">IF(D138&lt;80,VLOOKUP(D138,R:S,2,FALSE()),CONCATENATE(D138," cm"))</f>
        <v>162 cm</v>
      </c>
      <c r="L138" s="17" t="n">
        <f aca="false">E138</f>
        <v>169</v>
      </c>
    </row>
    <row r="139" customFormat="false" ht="15" hidden="false" customHeight="false" outlineLevel="0" collapsed="false">
      <c r="A139" s="12" t="s">
        <v>257</v>
      </c>
      <c r="B139" s="13" t="s">
        <v>105</v>
      </c>
      <c r="C139" s="14" t="s">
        <v>208</v>
      </c>
      <c r="D139" s="15" t="n">
        <v>158</v>
      </c>
      <c r="E139" s="16" t="n">
        <v>135</v>
      </c>
      <c r="F139" s="13" t="s">
        <v>34</v>
      </c>
      <c r="G139" s="15" t="n">
        <v>1</v>
      </c>
      <c r="H139" s="5" t="str">
        <f aca="false">SUBSTITUTE(A139,"MS","",1)</f>
        <v>52972</v>
      </c>
      <c r="I139" s="5" t="str">
        <f aca="false">VLOOKUP(F139,O:P,2,FALSE())</f>
        <v>Skis Alpin </v>
      </c>
      <c r="J139" s="5" t="str">
        <f aca="false">CONCATENATE(B139," ",C139)</f>
        <v>dynastar intense</v>
      </c>
      <c r="K139" s="5" t="str">
        <f aca="false">IF(D139&lt;80,VLOOKUP(D139,R:S,2,FALSE()),CONCATENATE(D139," cm"))</f>
        <v>158 cm</v>
      </c>
      <c r="L139" s="17" t="n">
        <f aca="false">E139</f>
        <v>135</v>
      </c>
    </row>
    <row r="140" customFormat="false" ht="15" hidden="false" customHeight="false" outlineLevel="0" collapsed="false">
      <c r="A140" s="12" t="s">
        <v>258</v>
      </c>
      <c r="B140" s="13" t="s">
        <v>105</v>
      </c>
      <c r="C140" s="14" t="s">
        <v>208</v>
      </c>
      <c r="D140" s="15" t="n">
        <v>158</v>
      </c>
      <c r="E140" s="16" t="n">
        <v>135</v>
      </c>
      <c r="F140" s="13" t="s">
        <v>34</v>
      </c>
      <c r="G140" s="15" t="n">
        <v>1</v>
      </c>
      <c r="H140" s="5" t="str">
        <f aca="false">SUBSTITUTE(A140,"MS","",1)</f>
        <v>52973</v>
      </c>
      <c r="I140" s="5" t="str">
        <f aca="false">VLOOKUP(F140,O:P,2,FALSE())</f>
        <v>Skis Alpin </v>
      </c>
      <c r="J140" s="5" t="str">
        <f aca="false">CONCATENATE(B140," ",C140)</f>
        <v>dynastar intense</v>
      </c>
      <c r="K140" s="5" t="str">
        <f aca="false">IF(D140&lt;80,VLOOKUP(D140,R:S,2,FALSE()),CONCATENATE(D140," cm"))</f>
        <v>158 cm</v>
      </c>
      <c r="L140" s="17" t="n">
        <f aca="false">E140</f>
        <v>135</v>
      </c>
    </row>
    <row r="141" customFormat="false" ht="15" hidden="false" customHeight="false" outlineLevel="0" collapsed="false">
      <c r="A141" s="12" t="s">
        <v>259</v>
      </c>
      <c r="B141" s="13" t="s">
        <v>105</v>
      </c>
      <c r="C141" s="14" t="s">
        <v>208</v>
      </c>
      <c r="D141" s="15" t="n">
        <v>158</v>
      </c>
      <c r="E141" s="16" t="n">
        <v>85</v>
      </c>
      <c r="F141" s="13" t="s">
        <v>34</v>
      </c>
      <c r="G141" s="15" t="n">
        <v>1</v>
      </c>
      <c r="H141" s="5" t="str">
        <f aca="false">SUBSTITUTE(A141,"MS","",1)</f>
        <v>52974</v>
      </c>
      <c r="I141" s="5" t="str">
        <f aca="false">VLOOKUP(F141,O:P,2,FALSE())</f>
        <v>Skis Alpin </v>
      </c>
      <c r="J141" s="5" t="str">
        <f aca="false">CONCATENATE(B141," ",C141)</f>
        <v>dynastar intense</v>
      </c>
      <c r="K141" s="5" t="str">
        <f aca="false">IF(D141&lt;80,VLOOKUP(D141,R:S,2,FALSE()),CONCATENATE(D141," cm"))</f>
        <v>158 cm</v>
      </c>
      <c r="L141" s="17" t="n">
        <f aca="false">E141</f>
        <v>85</v>
      </c>
    </row>
    <row r="142" customFormat="false" ht="15" hidden="false" customHeight="false" outlineLevel="0" collapsed="false">
      <c r="A142" s="12" t="s">
        <v>260</v>
      </c>
      <c r="B142" s="13" t="s">
        <v>105</v>
      </c>
      <c r="C142" s="14" t="s">
        <v>261</v>
      </c>
      <c r="D142" s="15" t="n">
        <v>162</v>
      </c>
      <c r="E142" s="16" t="n">
        <v>145</v>
      </c>
      <c r="F142" s="13" t="s">
        <v>34</v>
      </c>
      <c r="G142" s="15" t="n">
        <v>1</v>
      </c>
      <c r="H142" s="5" t="str">
        <f aca="false">SUBSTITUTE(A142,"MS","",1)</f>
        <v>52975</v>
      </c>
      <c r="I142" s="5" t="str">
        <f aca="false">VLOOKUP(F142,O:P,2,FALSE())</f>
        <v>Skis Alpin </v>
      </c>
      <c r="J142" s="5" t="str">
        <f aca="false">CONCATENATE(B142," ",C142)</f>
        <v>dynastar speed sh</v>
      </c>
      <c r="K142" s="5" t="str">
        <f aca="false">IF(D142&lt;80,VLOOKUP(D142,R:S,2,FALSE()),CONCATENATE(D142," cm"))</f>
        <v>162 cm</v>
      </c>
      <c r="L142" s="17" t="n">
        <f aca="false">E142</f>
        <v>145</v>
      </c>
    </row>
    <row r="143" customFormat="false" ht="15" hidden="false" customHeight="false" outlineLevel="0" collapsed="false">
      <c r="A143" s="12" t="s">
        <v>262</v>
      </c>
      <c r="B143" s="13" t="s">
        <v>263</v>
      </c>
      <c r="C143" s="14" t="s">
        <v>264</v>
      </c>
      <c r="D143" s="15" t="n">
        <v>159</v>
      </c>
      <c r="E143" s="16" t="n">
        <v>169</v>
      </c>
      <c r="F143" s="13" t="s">
        <v>34</v>
      </c>
      <c r="G143" s="15" t="n">
        <v>1</v>
      </c>
      <c r="H143" s="5" t="str">
        <f aca="false">SUBSTITUTE(A143,"MS","",1)</f>
        <v>52976</v>
      </c>
      <c r="I143" s="5" t="str">
        <f aca="false">VLOOKUP(F143,O:P,2,FALSE())</f>
        <v>Skis Alpin </v>
      </c>
      <c r="J143" s="5" t="str">
        <f aca="false">CONCATENATE(B143," ",C143)</f>
        <v>blizzard BP</v>
      </c>
      <c r="K143" s="5" t="str">
        <f aca="false">IF(D143&lt;80,VLOOKUP(D143,R:S,2,FALSE()),CONCATENATE(D143," cm"))</f>
        <v>159 cm</v>
      </c>
      <c r="L143" s="17" t="n">
        <f aca="false">E143</f>
        <v>169</v>
      </c>
    </row>
    <row r="144" customFormat="false" ht="15" hidden="false" customHeight="false" outlineLevel="0" collapsed="false">
      <c r="A144" s="12" t="s">
        <v>265</v>
      </c>
      <c r="B144" s="13" t="s">
        <v>73</v>
      </c>
      <c r="C144" s="14" t="s">
        <v>223</v>
      </c>
      <c r="D144" s="15" t="n">
        <v>158</v>
      </c>
      <c r="E144" s="16" t="n">
        <v>135</v>
      </c>
      <c r="F144" s="13" t="s">
        <v>34</v>
      </c>
      <c r="G144" s="15" t="n">
        <v>1</v>
      </c>
      <c r="H144" s="5" t="str">
        <f aca="false">SUBSTITUTE(A144,"MS","",1)</f>
        <v>52977</v>
      </c>
      <c r="I144" s="5" t="str">
        <f aca="false">VLOOKUP(F144,O:P,2,FALSE())</f>
        <v>Skis Alpin </v>
      </c>
      <c r="J144" s="5" t="str">
        <f aca="false">CONCATENATE(B144," ",C144)</f>
        <v>volkl flair</v>
      </c>
      <c r="K144" s="5" t="str">
        <f aca="false">IF(D144&lt;80,VLOOKUP(D144,R:S,2,FALSE()),CONCATENATE(D144," cm"))</f>
        <v>158 cm</v>
      </c>
      <c r="L144" s="17" t="n">
        <f aca="false">E144</f>
        <v>135</v>
      </c>
    </row>
    <row r="145" customFormat="false" ht="15" hidden="false" customHeight="false" outlineLevel="0" collapsed="false">
      <c r="A145" s="12" t="s">
        <v>266</v>
      </c>
      <c r="B145" s="13" t="s">
        <v>73</v>
      </c>
      <c r="C145" s="14" t="s">
        <v>267</v>
      </c>
      <c r="D145" s="15" t="n">
        <v>150</v>
      </c>
      <c r="E145" s="16" t="n">
        <v>59</v>
      </c>
      <c r="F145" s="13" t="s">
        <v>42</v>
      </c>
      <c r="G145" s="15" t="n">
        <v>1</v>
      </c>
      <c r="H145" s="5" t="str">
        <f aca="false">SUBSTITUTE(A145,"MS","",1)</f>
        <v>52978</v>
      </c>
      <c r="I145" s="5" t="str">
        <f aca="false">VLOOKUP(F145,O:P,2,FALSE())</f>
        <v>Skis Alpin </v>
      </c>
      <c r="J145" s="5" t="str">
        <f aca="false">CONCATENATE(B145," ",C145)</f>
        <v>volkl raceT</v>
      </c>
      <c r="K145" s="5" t="str">
        <f aca="false">IF(D145&lt;80,VLOOKUP(D145,R:S,2,FALSE()),CONCATENATE(D145," cm"))</f>
        <v>150 cm</v>
      </c>
      <c r="L145" s="17" t="n">
        <f aca="false">E145</f>
        <v>59</v>
      </c>
    </row>
    <row r="146" customFormat="false" ht="15" hidden="false" customHeight="false" outlineLevel="0" collapsed="false">
      <c r="A146" s="12" t="s">
        <v>268</v>
      </c>
      <c r="B146" s="13" t="s">
        <v>73</v>
      </c>
      <c r="C146" s="14" t="s">
        <v>267</v>
      </c>
      <c r="D146" s="15" t="n">
        <v>150</v>
      </c>
      <c r="E146" s="16" t="n">
        <v>59</v>
      </c>
      <c r="F146" s="13" t="s">
        <v>42</v>
      </c>
      <c r="G146" s="15" t="n">
        <v>1</v>
      </c>
      <c r="H146" s="5" t="str">
        <f aca="false">SUBSTITUTE(A146,"MS","",1)</f>
        <v>52979</v>
      </c>
      <c r="I146" s="5" t="str">
        <f aca="false">VLOOKUP(F146,O:P,2,FALSE())</f>
        <v>Skis Alpin </v>
      </c>
      <c r="J146" s="5" t="str">
        <f aca="false">CONCATENATE(B146," ",C146)</f>
        <v>volkl raceT</v>
      </c>
      <c r="K146" s="5" t="str">
        <f aca="false">IF(D146&lt;80,VLOOKUP(D146,R:S,2,FALSE()),CONCATENATE(D146," cm"))</f>
        <v>150 cm</v>
      </c>
      <c r="L146" s="17" t="n">
        <f aca="false">E146</f>
        <v>59</v>
      </c>
    </row>
    <row r="147" customFormat="false" ht="15" hidden="false" customHeight="false" outlineLevel="0" collapsed="false">
      <c r="A147" s="12" t="s">
        <v>269</v>
      </c>
      <c r="B147" s="13" t="s">
        <v>73</v>
      </c>
      <c r="C147" s="14" t="s">
        <v>267</v>
      </c>
      <c r="D147" s="15" t="n">
        <v>150</v>
      </c>
      <c r="E147" s="16" t="n">
        <v>59</v>
      </c>
      <c r="F147" s="13" t="s">
        <v>42</v>
      </c>
      <c r="G147" s="15" t="n">
        <v>1</v>
      </c>
      <c r="H147" s="5" t="str">
        <f aca="false">SUBSTITUTE(A147,"MS","",1)</f>
        <v>52980</v>
      </c>
      <c r="I147" s="5" t="str">
        <f aca="false">VLOOKUP(F147,O:P,2,FALSE())</f>
        <v>Skis Alpin </v>
      </c>
      <c r="J147" s="5" t="str">
        <f aca="false">CONCATENATE(B147," ",C147)</f>
        <v>volkl raceT</v>
      </c>
      <c r="K147" s="5" t="str">
        <f aca="false">IF(D147&lt;80,VLOOKUP(D147,R:S,2,FALSE()),CONCATENATE(D147," cm"))</f>
        <v>150 cm</v>
      </c>
      <c r="L147" s="17" t="n">
        <f aca="false">E147</f>
        <v>59</v>
      </c>
    </row>
    <row r="148" customFormat="false" ht="15" hidden="false" customHeight="false" outlineLevel="0" collapsed="false">
      <c r="A148" s="12" t="s">
        <v>270</v>
      </c>
      <c r="B148" s="13" t="s">
        <v>73</v>
      </c>
      <c r="C148" s="14" t="s">
        <v>267</v>
      </c>
      <c r="D148" s="15" t="n">
        <v>140</v>
      </c>
      <c r="E148" s="16" t="n">
        <v>59</v>
      </c>
      <c r="F148" s="13" t="s">
        <v>42</v>
      </c>
      <c r="G148" s="15" t="n">
        <v>1</v>
      </c>
      <c r="H148" s="5" t="str">
        <f aca="false">SUBSTITUTE(A148,"MS","",1)</f>
        <v>52981</v>
      </c>
      <c r="I148" s="5" t="str">
        <f aca="false">VLOOKUP(F148,O:P,2,FALSE())</f>
        <v>Skis Alpin </v>
      </c>
      <c r="J148" s="5" t="str">
        <f aca="false">CONCATENATE(B148," ",C148)</f>
        <v>volkl raceT</v>
      </c>
      <c r="K148" s="5" t="str">
        <f aca="false">IF(D148&lt;80,VLOOKUP(D148,R:S,2,FALSE()),CONCATENATE(D148," cm"))</f>
        <v>140 cm</v>
      </c>
      <c r="L148" s="17" t="n">
        <f aca="false">E148</f>
        <v>59</v>
      </c>
    </row>
    <row r="149" customFormat="false" ht="15" hidden="false" customHeight="false" outlineLevel="0" collapsed="false">
      <c r="A149" s="12" t="s">
        <v>271</v>
      </c>
      <c r="B149" s="13" t="s">
        <v>73</v>
      </c>
      <c r="C149" s="14" t="s">
        <v>267</v>
      </c>
      <c r="D149" s="15" t="n">
        <v>140</v>
      </c>
      <c r="E149" s="16" t="n">
        <v>59</v>
      </c>
      <c r="F149" s="13" t="s">
        <v>42</v>
      </c>
      <c r="G149" s="15" t="n">
        <v>1</v>
      </c>
      <c r="H149" s="5" t="str">
        <f aca="false">SUBSTITUTE(A149,"MS","",1)</f>
        <v>52982</v>
      </c>
      <c r="I149" s="5" t="str">
        <f aca="false">VLOOKUP(F149,O:P,2,FALSE())</f>
        <v>Skis Alpin </v>
      </c>
      <c r="J149" s="5" t="str">
        <f aca="false">CONCATENATE(B149," ",C149)</f>
        <v>volkl raceT</v>
      </c>
      <c r="K149" s="5" t="str">
        <f aca="false">IF(D149&lt;80,VLOOKUP(D149,R:S,2,FALSE()),CONCATENATE(D149," cm"))</f>
        <v>140 cm</v>
      </c>
      <c r="L149" s="17" t="n">
        <f aca="false">E149</f>
        <v>59</v>
      </c>
    </row>
    <row r="150" customFormat="false" ht="15" hidden="false" customHeight="false" outlineLevel="0" collapsed="false">
      <c r="A150" s="12" t="s">
        <v>272</v>
      </c>
      <c r="B150" s="13" t="s">
        <v>73</v>
      </c>
      <c r="C150" s="14" t="s">
        <v>267</v>
      </c>
      <c r="D150" s="15" t="n">
        <v>160</v>
      </c>
      <c r="E150" s="16" t="n">
        <v>69</v>
      </c>
      <c r="F150" s="13" t="s">
        <v>42</v>
      </c>
      <c r="G150" s="15" t="n">
        <v>1</v>
      </c>
      <c r="H150" s="5" t="str">
        <f aca="false">SUBSTITUTE(A150,"MS","",1)</f>
        <v>52983</v>
      </c>
      <c r="I150" s="5" t="str">
        <f aca="false">VLOOKUP(F150,O:P,2,FALSE())</f>
        <v>Skis Alpin </v>
      </c>
      <c r="J150" s="5" t="str">
        <f aca="false">CONCATENATE(B150," ",C150)</f>
        <v>volkl raceT</v>
      </c>
      <c r="K150" s="5" t="str">
        <f aca="false">IF(D150&lt;80,VLOOKUP(D150,R:S,2,FALSE()),CONCATENATE(D150," cm"))</f>
        <v>160 cm</v>
      </c>
      <c r="L150" s="17" t="n">
        <f aca="false">E150</f>
        <v>69</v>
      </c>
    </row>
    <row r="151" customFormat="false" ht="15" hidden="false" customHeight="false" outlineLevel="0" collapsed="false">
      <c r="A151" s="12" t="s">
        <v>273</v>
      </c>
      <c r="B151" s="13" t="s">
        <v>28</v>
      </c>
      <c r="C151" s="14" t="s">
        <v>41</v>
      </c>
      <c r="D151" s="15" t="n">
        <v>158</v>
      </c>
      <c r="E151" s="16" t="n">
        <v>69</v>
      </c>
      <c r="F151" s="13" t="s">
        <v>42</v>
      </c>
      <c r="G151" s="15" t="n">
        <v>1</v>
      </c>
      <c r="H151" s="5" t="str">
        <f aca="false">SUBSTITUTE(A151,"MS","",1)</f>
        <v>52984</v>
      </c>
      <c r="I151" s="5" t="str">
        <f aca="false">VLOOKUP(F151,O:P,2,FALSE())</f>
        <v>Skis Alpin </v>
      </c>
      <c r="J151" s="5" t="str">
        <f aca="false">CONCATENATE(B151," ",C151)</f>
        <v>Rossignol hero</v>
      </c>
      <c r="K151" s="5" t="str">
        <f aca="false">IF(D151&lt;80,VLOOKUP(D151,R:S,2,FALSE()),CONCATENATE(D151," cm"))</f>
        <v>158 cm</v>
      </c>
      <c r="L151" s="17" t="n">
        <f aca="false">E151</f>
        <v>69</v>
      </c>
    </row>
    <row r="152" customFormat="false" ht="15" hidden="false" customHeight="false" outlineLevel="0" collapsed="false">
      <c r="A152" s="12" t="s">
        <v>274</v>
      </c>
      <c r="B152" s="13" t="s">
        <v>28</v>
      </c>
      <c r="C152" s="14" t="s">
        <v>41</v>
      </c>
      <c r="D152" s="15" t="n">
        <v>160</v>
      </c>
      <c r="E152" s="16" t="n">
        <v>69</v>
      </c>
      <c r="F152" s="13" t="s">
        <v>42</v>
      </c>
      <c r="G152" s="15" t="n">
        <v>1</v>
      </c>
      <c r="H152" s="5" t="str">
        <f aca="false">SUBSTITUTE(A152,"MS","",1)</f>
        <v>52985</v>
      </c>
      <c r="I152" s="5" t="str">
        <f aca="false">VLOOKUP(F152,O:P,2,FALSE())</f>
        <v>Skis Alpin </v>
      </c>
      <c r="J152" s="5" t="str">
        <f aca="false">CONCATENATE(B152," ",C152)</f>
        <v>Rossignol hero</v>
      </c>
      <c r="K152" s="5" t="str">
        <f aca="false">IF(D152&lt;80,VLOOKUP(D152,R:S,2,FALSE()),CONCATENATE(D152," cm"))</f>
        <v>160 cm</v>
      </c>
      <c r="L152" s="17" t="n">
        <f aca="false">E152</f>
        <v>69</v>
      </c>
    </row>
    <row r="153" customFormat="false" ht="15" hidden="false" customHeight="false" outlineLevel="0" collapsed="false">
      <c r="A153" s="12" t="s">
        <v>275</v>
      </c>
      <c r="B153" s="13" t="s">
        <v>28</v>
      </c>
      <c r="C153" s="14" t="s">
        <v>41</v>
      </c>
      <c r="D153" s="15" t="n">
        <v>150</v>
      </c>
      <c r="E153" s="16" t="n">
        <v>59</v>
      </c>
      <c r="F153" s="13" t="s">
        <v>42</v>
      </c>
      <c r="G153" s="15" t="n">
        <v>1</v>
      </c>
      <c r="H153" s="5" t="str">
        <f aca="false">SUBSTITUTE(A153,"MS","",1)</f>
        <v>52986</v>
      </c>
      <c r="I153" s="5" t="str">
        <f aca="false">VLOOKUP(F153,O:P,2,FALSE())</f>
        <v>Skis Alpin </v>
      </c>
      <c r="J153" s="5" t="str">
        <f aca="false">CONCATENATE(B153," ",C153)</f>
        <v>Rossignol hero</v>
      </c>
      <c r="K153" s="5" t="str">
        <f aca="false">IF(D153&lt;80,VLOOKUP(D153,R:S,2,FALSE()),CONCATENATE(D153," cm"))</f>
        <v>150 cm</v>
      </c>
      <c r="L153" s="17" t="n">
        <f aca="false">E153</f>
        <v>59</v>
      </c>
    </row>
    <row r="154" customFormat="false" ht="15" hidden="false" customHeight="false" outlineLevel="0" collapsed="false">
      <c r="A154" s="12" t="s">
        <v>276</v>
      </c>
      <c r="B154" s="13" t="s">
        <v>28</v>
      </c>
      <c r="C154" s="14" t="s">
        <v>41</v>
      </c>
      <c r="D154" s="15" t="n">
        <v>150</v>
      </c>
      <c r="E154" s="16" t="n">
        <v>59</v>
      </c>
      <c r="F154" s="13" t="s">
        <v>42</v>
      </c>
      <c r="G154" s="15" t="n">
        <v>1</v>
      </c>
      <c r="H154" s="5" t="str">
        <f aca="false">SUBSTITUTE(A154,"MS","",1)</f>
        <v>52987</v>
      </c>
      <c r="I154" s="5" t="str">
        <f aca="false">VLOOKUP(F154,O:P,2,FALSE())</f>
        <v>Skis Alpin </v>
      </c>
      <c r="J154" s="5" t="str">
        <f aca="false">CONCATENATE(B154," ",C154)</f>
        <v>Rossignol hero</v>
      </c>
      <c r="K154" s="5" t="str">
        <f aca="false">IF(D154&lt;80,VLOOKUP(D154,R:S,2,FALSE()),CONCATENATE(D154," cm"))</f>
        <v>150 cm</v>
      </c>
      <c r="L154" s="17" t="n">
        <f aca="false">E154</f>
        <v>59</v>
      </c>
    </row>
    <row r="155" customFormat="false" ht="15" hidden="false" customHeight="false" outlineLevel="0" collapsed="false">
      <c r="A155" s="12" t="s">
        <v>277</v>
      </c>
      <c r="B155" s="13" t="s">
        <v>28</v>
      </c>
      <c r="C155" s="14" t="s">
        <v>278</v>
      </c>
      <c r="D155" s="15" t="n">
        <v>148</v>
      </c>
      <c r="E155" s="16" t="n">
        <v>59</v>
      </c>
      <c r="F155" s="13" t="s">
        <v>42</v>
      </c>
      <c r="G155" s="15" t="n">
        <v>1</v>
      </c>
      <c r="H155" s="5" t="str">
        <f aca="false">SUBSTITUTE(A155,"MS","",1)</f>
        <v>52988</v>
      </c>
      <c r="I155" s="5" t="str">
        <f aca="false">VLOOKUP(F155,O:P,2,FALSE())</f>
        <v>Skis Alpin </v>
      </c>
      <c r="J155" s="5" t="str">
        <f aca="false">CONCATENATE(B155," ",C155)</f>
        <v>Rossignol spayer</v>
      </c>
      <c r="K155" s="5" t="str">
        <f aca="false">IF(D155&lt;80,VLOOKUP(D155,R:S,2,FALSE()),CONCATENATE(D155," cm"))</f>
        <v>148 cm</v>
      </c>
      <c r="L155" s="17" t="n">
        <f aca="false">E155</f>
        <v>59</v>
      </c>
    </row>
    <row r="156" customFormat="false" ht="15" hidden="false" customHeight="false" outlineLevel="0" collapsed="false">
      <c r="A156" s="12" t="s">
        <v>279</v>
      </c>
      <c r="B156" s="13" t="s">
        <v>28</v>
      </c>
      <c r="C156" s="14" t="s">
        <v>210</v>
      </c>
      <c r="D156" s="15" t="n">
        <v>150</v>
      </c>
      <c r="E156" s="16" t="n">
        <v>69</v>
      </c>
      <c r="F156" s="13" t="s">
        <v>42</v>
      </c>
      <c r="G156" s="15" t="n">
        <v>1</v>
      </c>
      <c r="H156" s="5" t="str">
        <f aca="false">SUBSTITUTE(A156,"MS","",1)</f>
        <v>52989</v>
      </c>
      <c r="I156" s="5" t="str">
        <f aca="false">VLOOKUP(F156,O:P,2,FALSE())</f>
        <v>Skis Alpin </v>
      </c>
      <c r="J156" s="5" t="str">
        <f aca="false">CONCATENATE(B156," ",C156)</f>
        <v>Rossignol famous</v>
      </c>
      <c r="K156" s="5" t="str">
        <f aca="false">IF(D156&lt;80,VLOOKUP(D156,R:S,2,FALSE()),CONCATENATE(D156," cm"))</f>
        <v>150 cm</v>
      </c>
      <c r="L156" s="17" t="n">
        <f aca="false">E156</f>
        <v>69</v>
      </c>
    </row>
    <row r="157" customFormat="false" ht="15" hidden="false" customHeight="false" outlineLevel="0" collapsed="false">
      <c r="A157" s="12" t="s">
        <v>280</v>
      </c>
      <c r="B157" s="13" t="s">
        <v>28</v>
      </c>
      <c r="C157" s="14" t="s">
        <v>281</v>
      </c>
      <c r="D157" s="15" t="n">
        <v>150</v>
      </c>
      <c r="E157" s="16" t="n">
        <v>59</v>
      </c>
      <c r="F157" s="13" t="s">
        <v>42</v>
      </c>
      <c r="G157" s="15" t="n">
        <v>1</v>
      </c>
      <c r="H157" s="5" t="str">
        <f aca="false">SUBSTITUTE(A157,"MS","",1)</f>
        <v>52990</v>
      </c>
      <c r="I157" s="5" t="str">
        <f aca="false">VLOOKUP(F157,O:P,2,FALSE())</f>
        <v>Skis Alpin </v>
      </c>
      <c r="J157" s="5" t="str">
        <f aca="false">CONCATENATE(B157," ",C157)</f>
        <v>Rossignol diva</v>
      </c>
      <c r="K157" s="5" t="str">
        <f aca="false">IF(D157&lt;80,VLOOKUP(D157,R:S,2,FALSE()),CONCATENATE(D157," cm"))</f>
        <v>150 cm</v>
      </c>
      <c r="L157" s="17" t="n">
        <f aca="false">E157</f>
        <v>59</v>
      </c>
    </row>
    <row r="158" customFormat="false" ht="15" hidden="false" customHeight="false" outlineLevel="0" collapsed="false">
      <c r="A158" s="12" t="s">
        <v>282</v>
      </c>
      <c r="B158" s="13" t="s">
        <v>105</v>
      </c>
      <c r="C158" s="14" t="s">
        <v>283</v>
      </c>
      <c r="D158" s="15" t="n">
        <v>160</v>
      </c>
      <c r="E158" s="16" t="n">
        <v>69</v>
      </c>
      <c r="F158" s="13" t="s">
        <v>42</v>
      </c>
      <c r="G158" s="15" t="n">
        <v>1</v>
      </c>
      <c r="H158" s="5" t="str">
        <f aca="false">SUBSTITUTE(A158,"MS","",1)</f>
        <v>52991</v>
      </c>
      <c r="I158" s="5" t="str">
        <f aca="false">VLOOKUP(F158,O:P,2,FALSE())</f>
        <v>Skis Alpin </v>
      </c>
      <c r="J158" s="5" t="str">
        <f aca="false">CONCATENATE(B158," ",C158)</f>
        <v>dynastar speed</v>
      </c>
      <c r="K158" s="5" t="str">
        <f aca="false">IF(D158&lt;80,VLOOKUP(D158,R:S,2,FALSE()),CONCATENATE(D158," cm"))</f>
        <v>160 cm</v>
      </c>
      <c r="L158" s="17" t="n">
        <f aca="false">E158</f>
        <v>69</v>
      </c>
    </row>
    <row r="159" customFormat="false" ht="15" hidden="false" customHeight="false" outlineLevel="0" collapsed="false">
      <c r="A159" s="12" t="s">
        <v>284</v>
      </c>
      <c r="B159" s="13" t="s">
        <v>105</v>
      </c>
      <c r="C159" s="14" t="s">
        <v>283</v>
      </c>
      <c r="D159" s="15" t="n">
        <v>160</v>
      </c>
      <c r="E159" s="16" t="n">
        <v>69</v>
      </c>
      <c r="F159" s="13" t="s">
        <v>42</v>
      </c>
      <c r="G159" s="15" t="n">
        <v>1</v>
      </c>
      <c r="H159" s="5" t="str">
        <f aca="false">SUBSTITUTE(A159,"MS","",1)</f>
        <v>52992</v>
      </c>
      <c r="I159" s="5" t="str">
        <f aca="false">VLOOKUP(F159,O:P,2,FALSE())</f>
        <v>Skis Alpin </v>
      </c>
      <c r="J159" s="5" t="str">
        <f aca="false">CONCATENATE(B159," ",C159)</f>
        <v>dynastar speed</v>
      </c>
      <c r="K159" s="5" t="str">
        <f aca="false">IF(D159&lt;80,VLOOKUP(D159,R:S,2,FALSE()),CONCATENATE(D159," cm"))</f>
        <v>160 cm</v>
      </c>
      <c r="L159" s="17" t="n">
        <f aca="false">E159</f>
        <v>69</v>
      </c>
    </row>
    <row r="160" customFormat="false" ht="15" hidden="false" customHeight="false" outlineLevel="0" collapsed="false">
      <c r="A160" s="12" t="s">
        <v>285</v>
      </c>
      <c r="B160" s="13" t="s">
        <v>105</v>
      </c>
      <c r="C160" s="14" t="s">
        <v>283</v>
      </c>
      <c r="D160" s="15" t="n">
        <v>160</v>
      </c>
      <c r="E160" s="16" t="n">
        <v>69</v>
      </c>
      <c r="F160" s="13" t="s">
        <v>42</v>
      </c>
      <c r="G160" s="15" t="n">
        <v>1</v>
      </c>
      <c r="H160" s="5" t="str">
        <f aca="false">SUBSTITUTE(A160,"MS","",1)</f>
        <v>52993</v>
      </c>
      <c r="I160" s="5" t="str">
        <f aca="false">VLOOKUP(F160,O:P,2,FALSE())</f>
        <v>Skis Alpin </v>
      </c>
      <c r="J160" s="5" t="str">
        <f aca="false">CONCATENATE(B160," ",C160)</f>
        <v>dynastar speed</v>
      </c>
      <c r="K160" s="5" t="str">
        <f aca="false">IF(D160&lt;80,VLOOKUP(D160,R:S,2,FALSE()),CONCATENATE(D160," cm"))</f>
        <v>160 cm</v>
      </c>
      <c r="L160" s="17" t="n">
        <f aca="false">E160</f>
        <v>69</v>
      </c>
    </row>
    <row r="161" customFormat="false" ht="15" hidden="false" customHeight="false" outlineLevel="0" collapsed="false">
      <c r="A161" s="12" t="s">
        <v>286</v>
      </c>
      <c r="B161" s="13" t="s">
        <v>105</v>
      </c>
      <c r="C161" s="14" t="s">
        <v>283</v>
      </c>
      <c r="D161" s="15" t="n">
        <v>150</v>
      </c>
      <c r="E161" s="16" t="n">
        <v>69</v>
      </c>
      <c r="F161" s="13" t="s">
        <v>42</v>
      </c>
      <c r="G161" s="15" t="n">
        <v>1</v>
      </c>
      <c r="H161" s="5" t="str">
        <f aca="false">SUBSTITUTE(A161,"MS","",1)</f>
        <v>52994</v>
      </c>
      <c r="I161" s="5" t="str">
        <f aca="false">VLOOKUP(F161,O:P,2,FALSE())</f>
        <v>Skis Alpin </v>
      </c>
      <c r="J161" s="5" t="str">
        <f aca="false">CONCATENATE(B161," ",C161)</f>
        <v>dynastar speed</v>
      </c>
      <c r="K161" s="5" t="str">
        <f aca="false">IF(D161&lt;80,VLOOKUP(D161,R:S,2,FALSE()),CONCATENATE(D161," cm"))</f>
        <v>150 cm</v>
      </c>
      <c r="L161" s="17" t="n">
        <f aca="false">E161</f>
        <v>69</v>
      </c>
    </row>
    <row r="162" customFormat="false" ht="15" hidden="false" customHeight="false" outlineLevel="0" collapsed="false">
      <c r="A162" s="12" t="s">
        <v>287</v>
      </c>
      <c r="B162" s="13" t="s">
        <v>105</v>
      </c>
      <c r="C162" s="14" t="s">
        <v>283</v>
      </c>
      <c r="D162" s="15" t="n">
        <v>150</v>
      </c>
      <c r="E162" s="16" t="n">
        <v>69</v>
      </c>
      <c r="F162" s="13" t="s">
        <v>42</v>
      </c>
      <c r="G162" s="15" t="n">
        <v>1</v>
      </c>
      <c r="H162" s="5" t="str">
        <f aca="false">SUBSTITUTE(A162,"MS","",1)</f>
        <v>52995</v>
      </c>
      <c r="I162" s="5" t="str">
        <f aca="false">VLOOKUP(F162,O:P,2,FALSE())</f>
        <v>Skis Alpin </v>
      </c>
      <c r="J162" s="5" t="str">
        <f aca="false">CONCATENATE(B162," ",C162)</f>
        <v>dynastar speed</v>
      </c>
      <c r="K162" s="5" t="str">
        <f aca="false">IF(D162&lt;80,VLOOKUP(D162,R:S,2,FALSE()),CONCATENATE(D162," cm"))</f>
        <v>150 cm</v>
      </c>
      <c r="L162" s="17" t="n">
        <f aca="false">E162</f>
        <v>69</v>
      </c>
    </row>
    <row r="163" customFormat="false" ht="15" hidden="false" customHeight="false" outlineLevel="0" collapsed="false">
      <c r="A163" s="12" t="s">
        <v>288</v>
      </c>
      <c r="B163" s="13" t="s">
        <v>263</v>
      </c>
      <c r="C163" s="14" t="s">
        <v>289</v>
      </c>
      <c r="D163" s="15" t="n">
        <v>160</v>
      </c>
      <c r="E163" s="16" t="n">
        <v>69</v>
      </c>
      <c r="F163" s="13" t="s">
        <v>42</v>
      </c>
      <c r="G163" s="15" t="n">
        <v>1</v>
      </c>
      <c r="H163" s="5" t="str">
        <f aca="false">SUBSTITUTE(A163,"MS","",1)</f>
        <v>52996</v>
      </c>
      <c r="I163" s="5" t="str">
        <f aca="false">VLOOKUP(F163,O:P,2,FALSE())</f>
        <v>Skis Alpin </v>
      </c>
      <c r="J163" s="5" t="str">
        <f aca="false">CONCATENATE(B163," ",C163)</f>
        <v>blizzard rc</v>
      </c>
      <c r="K163" s="5" t="str">
        <f aca="false">IF(D163&lt;80,VLOOKUP(D163,R:S,2,FALSE()),CONCATENATE(D163," cm"))</f>
        <v>160 cm</v>
      </c>
      <c r="L163" s="17" t="n">
        <f aca="false">E163</f>
        <v>69</v>
      </c>
    </row>
    <row r="164" customFormat="false" ht="15" hidden="false" customHeight="false" outlineLevel="0" collapsed="false">
      <c r="A164" s="12" t="s">
        <v>290</v>
      </c>
      <c r="B164" s="13" t="s">
        <v>240</v>
      </c>
      <c r="C164" s="14" t="s">
        <v>291</v>
      </c>
      <c r="D164" s="15" t="n">
        <v>150</v>
      </c>
      <c r="E164" s="16" t="n">
        <v>69</v>
      </c>
      <c r="F164" s="13" t="s">
        <v>42</v>
      </c>
      <c r="G164" s="15" t="n">
        <v>1</v>
      </c>
      <c r="H164" s="5" t="str">
        <f aca="false">SUBSTITUTE(A164,"MS","",1)</f>
        <v>52997</v>
      </c>
      <c r="I164" s="5" t="str">
        <f aca="false">VLOOKUP(F164,O:P,2,FALSE())</f>
        <v>Skis Alpin </v>
      </c>
      <c r="J164" s="5" t="str">
        <f aca="false">CONCATENATE(B164," ",C164)</f>
        <v>head super shape</v>
      </c>
      <c r="K164" s="5" t="str">
        <f aca="false">IF(D164&lt;80,VLOOKUP(D164,R:S,2,FALSE()),CONCATENATE(D164," cm"))</f>
        <v>150 cm</v>
      </c>
      <c r="L164" s="17" t="n">
        <f aca="false">E164</f>
        <v>69</v>
      </c>
    </row>
    <row r="165" customFormat="false" ht="15" hidden="false" customHeight="false" outlineLevel="0" collapsed="false">
      <c r="A165" s="12" t="s">
        <v>292</v>
      </c>
      <c r="B165" s="13" t="s">
        <v>293</v>
      </c>
      <c r="C165" s="14" t="s">
        <v>294</v>
      </c>
      <c r="D165" s="15" t="n">
        <v>150</v>
      </c>
      <c r="E165" s="16" t="n">
        <v>49</v>
      </c>
      <c r="F165" s="13" t="s">
        <v>42</v>
      </c>
      <c r="G165" s="15" t="n">
        <v>1</v>
      </c>
      <c r="H165" s="5" t="str">
        <f aca="false">SUBSTITUTE(A165,"MS","",1)</f>
        <v>52998</v>
      </c>
      <c r="I165" s="5" t="str">
        <f aca="false">VLOOKUP(F165,O:P,2,FALSE())</f>
        <v>Skis Alpin </v>
      </c>
      <c r="J165" s="5" t="str">
        <f aca="false">CONCATENATE(B165," ",C165)</f>
        <v>fisher rc4</v>
      </c>
      <c r="K165" s="5" t="str">
        <f aca="false">IF(D165&lt;80,VLOOKUP(D165,R:S,2,FALSE()),CONCATENATE(D165," cm"))</f>
        <v>150 cm</v>
      </c>
      <c r="L165" s="17" t="n">
        <f aca="false">E165</f>
        <v>49</v>
      </c>
    </row>
    <row r="166" customFormat="false" ht="15" hidden="false" customHeight="false" outlineLevel="0" collapsed="false">
      <c r="A166" s="12" t="s">
        <v>295</v>
      </c>
      <c r="B166" s="13" t="s">
        <v>293</v>
      </c>
      <c r="C166" s="14" t="s">
        <v>296</v>
      </c>
      <c r="D166" s="15" t="n">
        <v>150</v>
      </c>
      <c r="E166" s="16" t="n">
        <v>49</v>
      </c>
      <c r="F166" s="13" t="s">
        <v>42</v>
      </c>
      <c r="G166" s="15" t="n">
        <v>1</v>
      </c>
      <c r="H166" s="5" t="str">
        <f aca="false">SUBSTITUTE(A166,"MS","",1)</f>
        <v>52999</v>
      </c>
      <c r="I166" s="5" t="str">
        <f aca="false">VLOOKUP(F166,O:P,2,FALSE())</f>
        <v>Skis Alpin </v>
      </c>
      <c r="J166" s="5" t="str">
        <f aca="false">CONCATENATE(B166," ",C166)</f>
        <v>fisher rc5</v>
      </c>
      <c r="K166" s="5" t="str">
        <f aca="false">IF(D166&lt;80,VLOOKUP(D166,R:S,2,FALSE()),CONCATENATE(D166," cm"))</f>
        <v>150 cm</v>
      </c>
      <c r="L166" s="17" t="n">
        <f aca="false">E166</f>
        <v>49</v>
      </c>
    </row>
    <row r="167" customFormat="false" ht="15" hidden="false" customHeight="false" outlineLevel="0" collapsed="false">
      <c r="A167" s="12" t="s">
        <v>297</v>
      </c>
      <c r="B167" s="13" t="s">
        <v>111</v>
      </c>
      <c r="C167" s="14" t="s">
        <v>298</v>
      </c>
      <c r="D167" s="15" t="n">
        <v>145</v>
      </c>
      <c r="E167" s="16" t="n">
        <v>59</v>
      </c>
      <c r="F167" s="13" t="s">
        <v>42</v>
      </c>
      <c r="G167" s="15" t="n">
        <v>1</v>
      </c>
      <c r="H167" s="5" t="str">
        <f aca="false">SUBSTITUTE(A167,"MS","",1)</f>
        <v>53000</v>
      </c>
      <c r="I167" s="5" t="str">
        <f aca="false">VLOOKUP(F167,O:P,2,FALSE())</f>
        <v>Skis Alpin </v>
      </c>
      <c r="J167" s="5" t="str">
        <f aca="false">CONCATENATE(B167," ",C167)</f>
        <v>elan twist</v>
      </c>
      <c r="K167" s="5" t="str">
        <f aca="false">IF(D167&lt;80,VLOOKUP(D167,R:S,2,FALSE()),CONCATENATE(D167," cm"))</f>
        <v>145 cm</v>
      </c>
      <c r="L167" s="17" t="n">
        <f aca="false">E167</f>
        <v>59</v>
      </c>
    </row>
    <row r="168" customFormat="false" ht="15" hidden="false" customHeight="false" outlineLevel="0" collapsed="false">
      <c r="A168" s="12" t="s">
        <v>299</v>
      </c>
      <c r="B168" s="13" t="s">
        <v>111</v>
      </c>
      <c r="C168" s="14" t="s">
        <v>289</v>
      </c>
      <c r="D168" s="15" t="n">
        <v>150</v>
      </c>
      <c r="E168" s="16" t="n">
        <v>59</v>
      </c>
      <c r="F168" s="13" t="s">
        <v>42</v>
      </c>
      <c r="G168" s="15" t="n">
        <v>1</v>
      </c>
      <c r="H168" s="5" t="str">
        <f aca="false">SUBSTITUTE(A168,"MS","",1)</f>
        <v>53001</v>
      </c>
      <c r="I168" s="5" t="str">
        <f aca="false">VLOOKUP(F168,O:P,2,FALSE())</f>
        <v>Skis Alpin </v>
      </c>
      <c r="J168" s="5" t="str">
        <f aca="false">CONCATENATE(B168," ",C168)</f>
        <v>elan rc</v>
      </c>
      <c r="K168" s="5" t="str">
        <f aca="false">IF(D168&lt;80,VLOOKUP(D168,R:S,2,FALSE()),CONCATENATE(D168," cm"))</f>
        <v>150 cm</v>
      </c>
      <c r="L168" s="17" t="n">
        <f aca="false">E168</f>
        <v>59</v>
      </c>
    </row>
    <row r="169" customFormat="false" ht="15" hidden="false" customHeight="false" outlineLevel="0" collapsed="false">
      <c r="A169" s="12" t="s">
        <v>300</v>
      </c>
      <c r="B169" s="13" t="s">
        <v>28</v>
      </c>
      <c r="C169" s="14" t="s">
        <v>301</v>
      </c>
      <c r="D169" s="15" t="n">
        <v>140</v>
      </c>
      <c r="E169" s="16" t="n">
        <v>59</v>
      </c>
      <c r="F169" s="13" t="s">
        <v>42</v>
      </c>
      <c r="G169" s="15" t="n">
        <v>1</v>
      </c>
      <c r="H169" s="5" t="str">
        <f aca="false">SUBSTITUTE(A169,"MS","",1)</f>
        <v>53002</v>
      </c>
      <c r="I169" s="5" t="str">
        <f aca="false">VLOOKUP(F169,O:P,2,FALSE())</f>
        <v>Skis Alpin </v>
      </c>
      <c r="J169" s="5" t="str">
        <f aca="false">CONCATENATE(B169," ",C169)</f>
        <v>Rossignol pro</v>
      </c>
      <c r="K169" s="5" t="str">
        <f aca="false">IF(D169&lt;80,VLOOKUP(D169,R:S,2,FALSE()),CONCATENATE(D169," cm"))</f>
        <v>140 cm</v>
      </c>
      <c r="L169" s="17" t="n">
        <f aca="false">E169</f>
        <v>59</v>
      </c>
    </row>
    <row r="170" customFormat="false" ht="15" hidden="false" customHeight="false" outlineLevel="0" collapsed="false">
      <c r="A170" s="12" t="s">
        <v>302</v>
      </c>
      <c r="B170" s="13" t="s">
        <v>28</v>
      </c>
      <c r="C170" s="14" t="s">
        <v>301</v>
      </c>
      <c r="D170" s="15" t="n">
        <v>140</v>
      </c>
      <c r="E170" s="16" t="n">
        <v>59</v>
      </c>
      <c r="F170" s="13" t="s">
        <v>42</v>
      </c>
      <c r="G170" s="15" t="n">
        <v>1</v>
      </c>
      <c r="H170" s="5" t="str">
        <f aca="false">SUBSTITUTE(A170,"MS","",1)</f>
        <v>53003</v>
      </c>
      <c r="I170" s="5" t="str">
        <f aca="false">VLOOKUP(F170,O:P,2,FALSE())</f>
        <v>Skis Alpin </v>
      </c>
      <c r="J170" s="5" t="str">
        <f aca="false">CONCATENATE(B170," ",C170)</f>
        <v>Rossignol pro</v>
      </c>
      <c r="K170" s="5" t="str">
        <f aca="false">IF(D170&lt;80,VLOOKUP(D170,R:S,2,FALSE()),CONCATENATE(D170," cm"))</f>
        <v>140 cm</v>
      </c>
      <c r="L170" s="17" t="n">
        <f aca="false">E170</f>
        <v>59</v>
      </c>
    </row>
    <row r="171" customFormat="false" ht="15" hidden="false" customHeight="false" outlineLevel="0" collapsed="false">
      <c r="A171" s="12" t="s">
        <v>303</v>
      </c>
      <c r="B171" s="13" t="s">
        <v>28</v>
      </c>
      <c r="C171" s="14" t="s">
        <v>301</v>
      </c>
      <c r="D171" s="15" t="n">
        <v>140</v>
      </c>
      <c r="E171" s="16" t="n">
        <v>59</v>
      </c>
      <c r="F171" s="13" t="s">
        <v>42</v>
      </c>
      <c r="G171" s="15" t="n">
        <v>1</v>
      </c>
      <c r="H171" s="5" t="str">
        <f aca="false">SUBSTITUTE(A171,"MS","",1)</f>
        <v>53004</v>
      </c>
      <c r="I171" s="5" t="str">
        <f aca="false">VLOOKUP(F171,O:P,2,FALSE())</f>
        <v>Skis Alpin </v>
      </c>
      <c r="J171" s="5" t="str">
        <f aca="false">CONCATENATE(B171," ",C171)</f>
        <v>Rossignol pro</v>
      </c>
      <c r="K171" s="5" t="str">
        <f aca="false">IF(D171&lt;80,VLOOKUP(D171,R:S,2,FALSE()),CONCATENATE(D171," cm"))</f>
        <v>140 cm</v>
      </c>
      <c r="L171" s="17" t="n">
        <f aca="false">E171</f>
        <v>59</v>
      </c>
    </row>
    <row r="172" customFormat="false" ht="15" hidden="false" customHeight="false" outlineLevel="0" collapsed="false">
      <c r="A172" s="12" t="s">
        <v>304</v>
      </c>
      <c r="B172" s="13" t="s">
        <v>28</v>
      </c>
      <c r="C172" s="14" t="s">
        <v>301</v>
      </c>
      <c r="D172" s="15" t="n">
        <v>130</v>
      </c>
      <c r="E172" s="16" t="n">
        <v>55</v>
      </c>
      <c r="F172" s="13" t="s">
        <v>42</v>
      </c>
      <c r="G172" s="15" t="n">
        <v>1</v>
      </c>
      <c r="H172" s="5" t="str">
        <f aca="false">SUBSTITUTE(A172,"MS","",1)</f>
        <v>53005</v>
      </c>
      <c r="I172" s="5" t="str">
        <f aca="false">VLOOKUP(F172,O:P,2,FALSE())</f>
        <v>Skis Alpin </v>
      </c>
      <c r="J172" s="5" t="str">
        <f aca="false">CONCATENATE(B172," ",C172)</f>
        <v>Rossignol pro</v>
      </c>
      <c r="K172" s="5" t="str">
        <f aca="false">IF(D172&lt;80,VLOOKUP(D172,R:S,2,FALSE()),CONCATENATE(D172," cm"))</f>
        <v>130 cm</v>
      </c>
      <c r="L172" s="17" t="n">
        <f aca="false">E172</f>
        <v>55</v>
      </c>
    </row>
    <row r="173" customFormat="false" ht="15" hidden="false" customHeight="false" outlineLevel="0" collapsed="false">
      <c r="A173" s="12" t="s">
        <v>305</v>
      </c>
      <c r="B173" s="13" t="s">
        <v>28</v>
      </c>
      <c r="C173" s="14" t="s">
        <v>210</v>
      </c>
      <c r="D173" s="15" t="n">
        <v>140</v>
      </c>
      <c r="E173" s="16" t="n">
        <v>69</v>
      </c>
      <c r="F173" s="13" t="s">
        <v>42</v>
      </c>
      <c r="G173" s="15" t="n">
        <v>1</v>
      </c>
      <c r="H173" s="5" t="str">
        <f aca="false">SUBSTITUTE(A173,"MS","",1)</f>
        <v>53006</v>
      </c>
      <c r="I173" s="5" t="str">
        <f aca="false">VLOOKUP(F173,O:P,2,FALSE())</f>
        <v>Skis Alpin </v>
      </c>
      <c r="J173" s="5" t="str">
        <f aca="false">CONCATENATE(B173," ",C173)</f>
        <v>Rossignol famous</v>
      </c>
      <c r="K173" s="5" t="str">
        <f aca="false">IF(D173&lt;80,VLOOKUP(D173,R:S,2,FALSE()),CONCATENATE(D173," cm"))</f>
        <v>140 cm</v>
      </c>
      <c r="L173" s="17" t="n">
        <f aca="false">E173</f>
        <v>69</v>
      </c>
    </row>
    <row r="174" customFormat="false" ht="15" hidden="false" customHeight="false" outlineLevel="0" collapsed="false">
      <c r="A174" s="12" t="s">
        <v>306</v>
      </c>
      <c r="B174" s="13" t="s">
        <v>28</v>
      </c>
      <c r="C174" s="14" t="s">
        <v>210</v>
      </c>
      <c r="D174" s="15" t="n">
        <v>130</v>
      </c>
      <c r="E174" s="16" t="n">
        <v>69</v>
      </c>
      <c r="F174" s="13" t="s">
        <v>42</v>
      </c>
      <c r="G174" s="15" t="n">
        <v>1</v>
      </c>
      <c r="H174" s="5" t="str">
        <f aca="false">SUBSTITUTE(A174,"MS","",1)</f>
        <v>53007</v>
      </c>
      <c r="I174" s="5" t="str">
        <f aca="false">VLOOKUP(F174,O:P,2,FALSE())</f>
        <v>Skis Alpin </v>
      </c>
      <c r="J174" s="5" t="str">
        <f aca="false">CONCATENATE(B174," ",C174)</f>
        <v>Rossignol famous</v>
      </c>
      <c r="K174" s="5" t="str">
        <f aca="false">IF(D174&lt;80,VLOOKUP(D174,R:S,2,FALSE()),CONCATENATE(D174," cm"))</f>
        <v>130 cm</v>
      </c>
      <c r="L174" s="17" t="n">
        <f aca="false">E174</f>
        <v>69</v>
      </c>
    </row>
    <row r="175" customFormat="false" ht="15" hidden="false" customHeight="false" outlineLevel="0" collapsed="false">
      <c r="A175" s="12" t="s">
        <v>307</v>
      </c>
      <c r="B175" s="13" t="s">
        <v>28</v>
      </c>
      <c r="C175" s="14" t="s">
        <v>41</v>
      </c>
      <c r="D175" s="15" t="n">
        <v>140</v>
      </c>
      <c r="E175" s="16" t="n">
        <v>59</v>
      </c>
      <c r="F175" s="13" t="s">
        <v>42</v>
      </c>
      <c r="G175" s="15" t="n">
        <v>1</v>
      </c>
      <c r="H175" s="5" t="str">
        <f aca="false">SUBSTITUTE(A175,"MS","",1)</f>
        <v>53008</v>
      </c>
      <c r="I175" s="5" t="str">
        <f aca="false">VLOOKUP(F175,O:P,2,FALSE())</f>
        <v>Skis Alpin </v>
      </c>
      <c r="J175" s="5" t="str">
        <f aca="false">CONCATENATE(B175," ",C175)</f>
        <v>Rossignol hero</v>
      </c>
      <c r="K175" s="5" t="str">
        <f aca="false">IF(D175&lt;80,VLOOKUP(D175,R:S,2,FALSE()),CONCATENATE(D175," cm"))</f>
        <v>140 cm</v>
      </c>
      <c r="L175" s="17" t="n">
        <f aca="false">E175</f>
        <v>59</v>
      </c>
    </row>
    <row r="176" customFormat="false" ht="15" hidden="false" customHeight="false" outlineLevel="0" collapsed="false">
      <c r="A176" s="12" t="s">
        <v>308</v>
      </c>
      <c r="B176" s="13" t="s">
        <v>28</v>
      </c>
      <c r="C176" s="14" t="s">
        <v>41</v>
      </c>
      <c r="D176" s="15" t="n">
        <v>140</v>
      </c>
      <c r="E176" s="16" t="n">
        <v>59</v>
      </c>
      <c r="F176" s="13" t="s">
        <v>42</v>
      </c>
      <c r="G176" s="15" t="n">
        <v>1</v>
      </c>
      <c r="H176" s="5" t="str">
        <f aca="false">SUBSTITUTE(A176,"MS","",1)</f>
        <v>53009</v>
      </c>
      <c r="I176" s="5" t="str">
        <f aca="false">VLOOKUP(F176,O:P,2,FALSE())</f>
        <v>Skis Alpin </v>
      </c>
      <c r="J176" s="5" t="str">
        <f aca="false">CONCATENATE(B176," ",C176)</f>
        <v>Rossignol hero</v>
      </c>
      <c r="K176" s="5" t="str">
        <f aca="false">IF(D176&lt;80,VLOOKUP(D176,R:S,2,FALSE()),CONCATENATE(D176," cm"))</f>
        <v>140 cm</v>
      </c>
      <c r="L176" s="17" t="n">
        <f aca="false">E176</f>
        <v>59</v>
      </c>
    </row>
    <row r="177" customFormat="false" ht="15" hidden="false" customHeight="false" outlineLevel="0" collapsed="false">
      <c r="A177" s="12" t="s">
        <v>309</v>
      </c>
      <c r="B177" s="13" t="s">
        <v>28</v>
      </c>
      <c r="C177" s="14" t="s">
        <v>41</v>
      </c>
      <c r="D177" s="15" t="n">
        <v>140</v>
      </c>
      <c r="E177" s="16" t="n">
        <v>59</v>
      </c>
      <c r="F177" s="13" t="s">
        <v>42</v>
      </c>
      <c r="G177" s="15" t="n">
        <v>1</v>
      </c>
      <c r="H177" s="5" t="str">
        <f aca="false">SUBSTITUTE(A177,"MS","",1)</f>
        <v>53010</v>
      </c>
      <c r="I177" s="5" t="str">
        <f aca="false">VLOOKUP(F177,O:P,2,FALSE())</f>
        <v>Skis Alpin </v>
      </c>
      <c r="J177" s="5" t="str">
        <f aca="false">CONCATENATE(B177," ",C177)</f>
        <v>Rossignol hero</v>
      </c>
      <c r="K177" s="5" t="str">
        <f aca="false">IF(D177&lt;80,VLOOKUP(D177,R:S,2,FALSE()),CONCATENATE(D177," cm"))</f>
        <v>140 cm</v>
      </c>
      <c r="L177" s="17" t="n">
        <f aca="false">E177</f>
        <v>59</v>
      </c>
    </row>
    <row r="178" customFormat="false" ht="15" hidden="false" customHeight="false" outlineLevel="0" collapsed="false">
      <c r="A178" s="12" t="s">
        <v>310</v>
      </c>
      <c r="B178" s="13" t="s">
        <v>28</v>
      </c>
      <c r="C178" s="14" t="s">
        <v>41</v>
      </c>
      <c r="D178" s="15" t="n">
        <v>140</v>
      </c>
      <c r="E178" s="16" t="n">
        <v>55</v>
      </c>
      <c r="F178" s="13" t="s">
        <v>42</v>
      </c>
      <c r="G178" s="15" t="n">
        <v>1</v>
      </c>
      <c r="H178" s="5" t="str">
        <f aca="false">SUBSTITUTE(A178,"MS","",1)</f>
        <v>53011</v>
      </c>
      <c r="I178" s="5" t="str">
        <f aca="false">VLOOKUP(F178,O:P,2,FALSE())</f>
        <v>Skis Alpin </v>
      </c>
      <c r="J178" s="5" t="str">
        <f aca="false">CONCATENATE(B178," ",C178)</f>
        <v>Rossignol hero</v>
      </c>
      <c r="K178" s="5" t="str">
        <f aca="false">IF(D178&lt;80,VLOOKUP(D178,R:S,2,FALSE()),CONCATENATE(D178," cm"))</f>
        <v>140 cm</v>
      </c>
      <c r="L178" s="17" t="n">
        <f aca="false">E178</f>
        <v>55</v>
      </c>
    </row>
    <row r="179" customFormat="false" ht="15" hidden="false" customHeight="false" outlineLevel="0" collapsed="false">
      <c r="A179" s="12" t="s">
        <v>311</v>
      </c>
      <c r="B179" s="13" t="s">
        <v>28</v>
      </c>
      <c r="C179" s="14" t="s">
        <v>41</v>
      </c>
      <c r="D179" s="15" t="n">
        <v>142</v>
      </c>
      <c r="E179" s="16" t="n">
        <v>75</v>
      </c>
      <c r="F179" s="13" t="s">
        <v>42</v>
      </c>
      <c r="G179" s="15" t="n">
        <v>1</v>
      </c>
      <c r="H179" s="5" t="str">
        <f aca="false">SUBSTITUTE(A179,"MS","",1)</f>
        <v>53012</v>
      </c>
      <c r="I179" s="5" t="str">
        <f aca="false">VLOOKUP(F179,O:P,2,FALSE())</f>
        <v>Skis Alpin </v>
      </c>
      <c r="J179" s="5" t="str">
        <f aca="false">CONCATENATE(B179," ",C179)</f>
        <v>Rossignol hero</v>
      </c>
      <c r="K179" s="5" t="str">
        <f aca="false">IF(D179&lt;80,VLOOKUP(D179,R:S,2,FALSE()),CONCATENATE(D179," cm"))</f>
        <v>142 cm</v>
      </c>
      <c r="L179" s="17" t="n">
        <f aca="false">E179</f>
        <v>75</v>
      </c>
    </row>
    <row r="180" customFormat="false" ht="15" hidden="false" customHeight="false" outlineLevel="0" collapsed="false">
      <c r="A180" s="12" t="s">
        <v>312</v>
      </c>
      <c r="B180" s="13" t="s">
        <v>28</v>
      </c>
      <c r="C180" s="14" t="s">
        <v>313</v>
      </c>
      <c r="D180" s="15" t="n">
        <v>140</v>
      </c>
      <c r="E180" s="16" t="n">
        <v>55</v>
      </c>
      <c r="F180" s="13" t="s">
        <v>42</v>
      </c>
      <c r="G180" s="15" t="n">
        <v>1</v>
      </c>
      <c r="H180" s="5" t="str">
        <f aca="false">SUBSTITUTE(A180,"MS","",1)</f>
        <v>53013</v>
      </c>
      <c r="I180" s="5" t="str">
        <f aca="false">VLOOKUP(F180,O:P,2,FALSE())</f>
        <v>Skis Alpin </v>
      </c>
      <c r="J180" s="5" t="str">
        <f aca="false">CONCATENATE(B180," ",C180)</f>
        <v>Rossignol fungirl</v>
      </c>
      <c r="K180" s="5" t="str">
        <f aca="false">IF(D180&lt;80,VLOOKUP(D180,R:S,2,FALSE()),CONCATENATE(D180," cm"))</f>
        <v>140 cm</v>
      </c>
      <c r="L180" s="17" t="n">
        <f aca="false">E180</f>
        <v>55</v>
      </c>
    </row>
    <row r="181" customFormat="false" ht="15" hidden="false" customHeight="false" outlineLevel="0" collapsed="false">
      <c r="A181" s="12" t="s">
        <v>314</v>
      </c>
      <c r="B181" s="13" t="s">
        <v>293</v>
      </c>
      <c r="C181" s="14" t="s">
        <v>315</v>
      </c>
      <c r="D181" s="15" t="n">
        <v>140</v>
      </c>
      <c r="E181" s="16" t="n">
        <v>59</v>
      </c>
      <c r="F181" s="13" t="s">
        <v>42</v>
      </c>
      <c r="G181" s="15" t="n">
        <v>1</v>
      </c>
      <c r="H181" s="5" t="str">
        <f aca="false">SUBSTITUTE(A181,"MS","",1)</f>
        <v>53014</v>
      </c>
      <c r="I181" s="5" t="str">
        <f aca="false">VLOOKUP(F181,O:P,2,FALSE())</f>
        <v>Skis Alpin </v>
      </c>
      <c r="J181" s="5" t="str">
        <f aca="false">CONCATENATE(B181," ",C181)</f>
        <v>fisher curv</v>
      </c>
      <c r="K181" s="5" t="str">
        <f aca="false">IF(D181&lt;80,VLOOKUP(D181,R:S,2,FALSE()),CONCATENATE(D181," cm"))</f>
        <v>140 cm</v>
      </c>
      <c r="L181" s="17" t="n">
        <f aca="false">E181</f>
        <v>59</v>
      </c>
    </row>
    <row r="182" customFormat="false" ht="15" hidden="false" customHeight="false" outlineLevel="0" collapsed="false">
      <c r="A182" s="12" t="s">
        <v>316</v>
      </c>
      <c r="B182" s="13" t="s">
        <v>293</v>
      </c>
      <c r="C182" s="14" t="s">
        <v>294</v>
      </c>
      <c r="D182" s="15" t="n">
        <v>140</v>
      </c>
      <c r="E182" s="16" t="n">
        <v>49</v>
      </c>
      <c r="F182" s="13" t="s">
        <v>42</v>
      </c>
      <c r="G182" s="15" t="n">
        <v>1</v>
      </c>
      <c r="H182" s="5" t="str">
        <f aca="false">SUBSTITUTE(A182,"MS","",1)</f>
        <v>53015</v>
      </c>
      <c r="I182" s="5" t="str">
        <f aca="false">VLOOKUP(F182,O:P,2,FALSE())</f>
        <v>Skis Alpin </v>
      </c>
      <c r="J182" s="5" t="str">
        <f aca="false">CONCATENATE(B182," ",C182)</f>
        <v>fisher rc4</v>
      </c>
      <c r="K182" s="5" t="str">
        <f aca="false">IF(D182&lt;80,VLOOKUP(D182,R:S,2,FALSE()),CONCATENATE(D182," cm"))</f>
        <v>140 cm</v>
      </c>
      <c r="L182" s="17" t="n">
        <f aca="false">E182</f>
        <v>49</v>
      </c>
    </row>
    <row r="183" customFormat="false" ht="15" hidden="false" customHeight="false" outlineLevel="0" collapsed="false">
      <c r="A183" s="12" t="s">
        <v>317</v>
      </c>
      <c r="B183" s="13" t="s">
        <v>105</v>
      </c>
      <c r="C183" s="14" t="s">
        <v>283</v>
      </c>
      <c r="D183" s="15" t="n">
        <v>140</v>
      </c>
      <c r="E183" s="16" t="n">
        <v>69</v>
      </c>
      <c r="F183" s="13" t="s">
        <v>42</v>
      </c>
      <c r="G183" s="15" t="n">
        <v>1</v>
      </c>
      <c r="H183" s="5" t="str">
        <f aca="false">SUBSTITUTE(A183,"MS","",1)</f>
        <v>53016</v>
      </c>
      <c r="I183" s="5" t="str">
        <f aca="false">VLOOKUP(F183,O:P,2,FALSE())</f>
        <v>Skis Alpin </v>
      </c>
      <c r="J183" s="5" t="str">
        <f aca="false">CONCATENATE(B183," ",C183)</f>
        <v>dynastar speed</v>
      </c>
      <c r="K183" s="5" t="str">
        <f aca="false">IF(D183&lt;80,VLOOKUP(D183,R:S,2,FALSE()),CONCATENATE(D183," cm"))</f>
        <v>140 cm</v>
      </c>
      <c r="L183" s="17" t="n">
        <f aca="false">E183</f>
        <v>69</v>
      </c>
    </row>
    <row r="184" customFormat="false" ht="15" hidden="false" customHeight="false" outlineLevel="0" collapsed="false">
      <c r="A184" s="12" t="s">
        <v>318</v>
      </c>
      <c r="B184" s="13" t="s">
        <v>105</v>
      </c>
      <c r="C184" s="14" t="s">
        <v>283</v>
      </c>
      <c r="D184" s="15" t="n">
        <v>140</v>
      </c>
      <c r="E184" s="16" t="n">
        <v>69</v>
      </c>
      <c r="F184" s="13" t="s">
        <v>42</v>
      </c>
      <c r="G184" s="15" t="n">
        <v>1</v>
      </c>
      <c r="H184" s="5" t="str">
        <f aca="false">SUBSTITUTE(A184,"MS","",1)</f>
        <v>53017</v>
      </c>
      <c r="I184" s="5" t="str">
        <f aca="false">VLOOKUP(F184,O:P,2,FALSE())</f>
        <v>Skis Alpin </v>
      </c>
      <c r="J184" s="5" t="str">
        <f aca="false">CONCATENATE(B184," ",C184)</f>
        <v>dynastar speed</v>
      </c>
      <c r="K184" s="5" t="str">
        <f aca="false">IF(D184&lt;80,VLOOKUP(D184,R:S,2,FALSE()),CONCATENATE(D184," cm"))</f>
        <v>140 cm</v>
      </c>
      <c r="L184" s="17" t="n">
        <f aca="false">E184</f>
        <v>69</v>
      </c>
    </row>
    <row r="185" customFormat="false" ht="15" hidden="false" customHeight="false" outlineLevel="0" collapsed="false">
      <c r="A185" s="12" t="s">
        <v>319</v>
      </c>
      <c r="B185" s="13" t="s">
        <v>105</v>
      </c>
      <c r="C185" s="14" t="s">
        <v>283</v>
      </c>
      <c r="D185" s="15" t="n">
        <v>140</v>
      </c>
      <c r="E185" s="16" t="n">
        <v>69</v>
      </c>
      <c r="F185" s="13" t="s">
        <v>42</v>
      </c>
      <c r="G185" s="15" t="n">
        <v>1</v>
      </c>
      <c r="H185" s="5" t="str">
        <f aca="false">SUBSTITUTE(A185,"MS","",1)</f>
        <v>53018</v>
      </c>
      <c r="I185" s="5" t="str">
        <f aca="false">VLOOKUP(F185,O:P,2,FALSE())</f>
        <v>Skis Alpin </v>
      </c>
      <c r="J185" s="5" t="str">
        <f aca="false">CONCATENATE(B185," ",C185)</f>
        <v>dynastar speed</v>
      </c>
      <c r="K185" s="5" t="str">
        <f aca="false">IF(D185&lt;80,VLOOKUP(D185,R:S,2,FALSE()),CONCATENATE(D185," cm"))</f>
        <v>140 cm</v>
      </c>
      <c r="L185" s="17" t="n">
        <f aca="false">E185</f>
        <v>69</v>
      </c>
    </row>
    <row r="186" customFormat="false" ht="15" hidden="false" customHeight="false" outlineLevel="0" collapsed="false">
      <c r="A186" s="12" t="s">
        <v>320</v>
      </c>
      <c r="B186" s="13" t="s">
        <v>111</v>
      </c>
      <c r="C186" s="14" t="s">
        <v>289</v>
      </c>
      <c r="D186" s="15" t="n">
        <v>140</v>
      </c>
      <c r="E186" s="16" t="n">
        <v>59</v>
      </c>
      <c r="F186" s="13" t="s">
        <v>42</v>
      </c>
      <c r="G186" s="15" t="n">
        <v>1</v>
      </c>
      <c r="H186" s="5" t="str">
        <f aca="false">SUBSTITUTE(A186,"MS","",1)</f>
        <v>53019</v>
      </c>
      <c r="I186" s="5" t="str">
        <f aca="false">VLOOKUP(F186,O:P,2,FALSE())</f>
        <v>Skis Alpin </v>
      </c>
      <c r="J186" s="5" t="str">
        <f aca="false">CONCATENATE(B186," ",C186)</f>
        <v>elan rc</v>
      </c>
      <c r="K186" s="5" t="str">
        <f aca="false">IF(D186&lt;80,VLOOKUP(D186,R:S,2,FALSE()),CONCATENATE(D186," cm"))</f>
        <v>140 cm</v>
      </c>
      <c r="L186" s="17" t="n">
        <f aca="false">E186</f>
        <v>59</v>
      </c>
    </row>
    <row r="187" customFormat="false" ht="15" hidden="false" customHeight="false" outlineLevel="0" collapsed="false">
      <c r="A187" s="12" t="s">
        <v>321</v>
      </c>
      <c r="B187" s="13" t="s">
        <v>111</v>
      </c>
      <c r="C187" s="14" t="s">
        <v>289</v>
      </c>
      <c r="D187" s="15" t="n">
        <v>140</v>
      </c>
      <c r="E187" s="16" t="n">
        <v>59</v>
      </c>
      <c r="F187" s="13" t="s">
        <v>42</v>
      </c>
      <c r="G187" s="15" t="n">
        <v>1</v>
      </c>
      <c r="H187" s="5" t="str">
        <f aca="false">SUBSTITUTE(A187,"MS","",1)</f>
        <v>53020</v>
      </c>
      <c r="I187" s="5" t="str">
        <f aca="false">VLOOKUP(F187,O:P,2,FALSE())</f>
        <v>Skis Alpin </v>
      </c>
      <c r="J187" s="5" t="str">
        <f aca="false">CONCATENATE(B187," ",C187)</f>
        <v>elan rc</v>
      </c>
      <c r="K187" s="5" t="str">
        <f aca="false">IF(D187&lt;80,VLOOKUP(D187,R:S,2,FALSE()),CONCATENATE(D187," cm"))</f>
        <v>140 cm</v>
      </c>
      <c r="L187" s="17" t="n">
        <f aca="false">E187</f>
        <v>59</v>
      </c>
    </row>
    <row r="188" customFormat="false" ht="15" hidden="false" customHeight="false" outlineLevel="0" collapsed="false">
      <c r="A188" s="12" t="s">
        <v>322</v>
      </c>
      <c r="B188" s="13" t="s">
        <v>111</v>
      </c>
      <c r="C188" s="14" t="s">
        <v>323</v>
      </c>
      <c r="D188" s="15" t="n">
        <v>140</v>
      </c>
      <c r="E188" s="16" t="n">
        <v>55</v>
      </c>
      <c r="F188" s="13" t="s">
        <v>42</v>
      </c>
      <c r="G188" s="15" t="n">
        <v>1</v>
      </c>
      <c r="H188" s="5" t="str">
        <f aca="false">SUBSTITUTE(A188,"MS","",1)</f>
        <v>53021</v>
      </c>
      <c r="I188" s="5" t="str">
        <f aca="false">VLOOKUP(F188,O:P,2,FALSE())</f>
        <v>Skis Alpin </v>
      </c>
      <c r="J188" s="5" t="str">
        <f aca="false">CONCATENATE(B188," ",C188)</f>
        <v>elan spice</v>
      </c>
      <c r="K188" s="5" t="str">
        <f aca="false">IF(D188&lt;80,VLOOKUP(D188,R:S,2,FALSE()),CONCATENATE(D188," cm"))</f>
        <v>140 cm</v>
      </c>
      <c r="L188" s="17" t="n">
        <f aca="false">E188</f>
        <v>55</v>
      </c>
    </row>
    <row r="189" customFormat="false" ht="15" hidden="false" customHeight="false" outlineLevel="0" collapsed="false">
      <c r="A189" s="12" t="s">
        <v>324</v>
      </c>
      <c r="B189" s="13" t="s">
        <v>191</v>
      </c>
      <c r="C189" s="14" t="s">
        <v>325</v>
      </c>
      <c r="D189" s="15" t="n">
        <v>138</v>
      </c>
      <c r="E189" s="16" t="n">
        <v>59</v>
      </c>
      <c r="F189" s="13" t="s">
        <v>42</v>
      </c>
      <c r="G189" s="15" t="n">
        <v>1</v>
      </c>
      <c r="H189" s="5" t="str">
        <f aca="false">SUBSTITUTE(A189,"MS","",1)</f>
        <v>53022</v>
      </c>
      <c r="I189" s="5" t="str">
        <f aca="false">VLOOKUP(F189,O:P,2,FALSE())</f>
        <v>Skis Alpin </v>
      </c>
      <c r="J189" s="5" t="str">
        <f aca="false">CONCATENATE(B189," ",C189)</f>
        <v>atomic etl</v>
      </c>
      <c r="K189" s="5" t="str">
        <f aca="false">IF(D189&lt;80,VLOOKUP(D189,R:S,2,FALSE()),CONCATENATE(D189," cm"))</f>
        <v>138 cm</v>
      </c>
      <c r="L189" s="17" t="n">
        <f aca="false">E189</f>
        <v>59</v>
      </c>
    </row>
    <row r="190" customFormat="false" ht="15" hidden="false" customHeight="false" outlineLevel="0" collapsed="false">
      <c r="A190" s="12" t="s">
        <v>326</v>
      </c>
      <c r="B190" s="13" t="s">
        <v>240</v>
      </c>
      <c r="C190" s="14" t="s">
        <v>327</v>
      </c>
      <c r="D190" s="15" t="n">
        <v>130</v>
      </c>
      <c r="E190" s="16" t="n">
        <v>59</v>
      </c>
      <c r="F190" s="13" t="s">
        <v>42</v>
      </c>
      <c r="G190" s="15" t="n">
        <v>1</v>
      </c>
      <c r="H190" s="5" t="str">
        <f aca="false">SUBSTITUTE(A190,"MS","",1)</f>
        <v>53023</v>
      </c>
      <c r="I190" s="5" t="str">
        <f aca="false">VLOOKUP(F190,O:P,2,FALSE())</f>
        <v>Skis Alpin </v>
      </c>
      <c r="J190" s="5" t="str">
        <f aca="false">CONCATENATE(B190," ",C190)</f>
        <v>head SP</v>
      </c>
      <c r="K190" s="5" t="str">
        <f aca="false">IF(D190&lt;80,VLOOKUP(D190,R:S,2,FALSE()),CONCATENATE(D190," cm"))</f>
        <v>130 cm</v>
      </c>
      <c r="L190" s="17" t="n">
        <f aca="false">E190</f>
        <v>59</v>
      </c>
    </row>
    <row r="191" customFormat="false" ht="15" hidden="false" customHeight="false" outlineLevel="0" collapsed="false">
      <c r="A191" s="12" t="s">
        <v>328</v>
      </c>
      <c r="B191" s="13" t="s">
        <v>293</v>
      </c>
      <c r="C191" s="14" t="s">
        <v>329</v>
      </c>
      <c r="D191" s="15" t="n">
        <v>130</v>
      </c>
      <c r="E191" s="16" t="n">
        <v>55</v>
      </c>
      <c r="F191" s="13" t="s">
        <v>42</v>
      </c>
      <c r="G191" s="15" t="n">
        <v>1</v>
      </c>
      <c r="H191" s="5" t="str">
        <f aca="false">SUBSTITUTE(A191,"MS","",1)</f>
        <v>53024</v>
      </c>
      <c r="I191" s="5" t="str">
        <f aca="false">VLOOKUP(F191,O:P,2,FALSE())</f>
        <v>Skis Alpin </v>
      </c>
      <c r="J191" s="5" t="str">
        <f aca="false">CONCATENATE(B191," ",C191)</f>
        <v>fisher koa</v>
      </c>
      <c r="K191" s="5" t="str">
        <f aca="false">IF(D191&lt;80,VLOOKUP(D191,R:S,2,FALSE()),CONCATENATE(D191," cm"))</f>
        <v>130 cm</v>
      </c>
      <c r="L191" s="17" t="n">
        <f aca="false">E191</f>
        <v>55</v>
      </c>
    </row>
    <row r="192" customFormat="false" ht="15" hidden="false" customHeight="false" outlineLevel="0" collapsed="false">
      <c r="A192" s="12" t="s">
        <v>330</v>
      </c>
      <c r="B192" s="13" t="s">
        <v>105</v>
      </c>
      <c r="C192" s="14" t="s">
        <v>331</v>
      </c>
      <c r="D192" s="15" t="n">
        <v>130</v>
      </c>
      <c r="E192" s="16" t="n">
        <v>59</v>
      </c>
      <c r="F192" s="13" t="s">
        <v>42</v>
      </c>
      <c r="G192" s="15" t="n">
        <v>1</v>
      </c>
      <c r="H192" s="5" t="str">
        <f aca="false">SUBSTITUTE(A192,"MS","",1)</f>
        <v>53025</v>
      </c>
      <c r="I192" s="5" t="str">
        <f aca="false">VLOOKUP(F192,O:P,2,FALSE())</f>
        <v>Skis Alpin </v>
      </c>
      <c r="J192" s="5" t="str">
        <f aca="false">CONCATENATE(B192," ",C192)</f>
        <v>dynastar slider</v>
      </c>
      <c r="K192" s="5" t="str">
        <f aca="false">IF(D192&lt;80,VLOOKUP(D192,R:S,2,FALSE()),CONCATENATE(D192," cm"))</f>
        <v>130 cm</v>
      </c>
      <c r="L192" s="17" t="n">
        <f aca="false">E192</f>
        <v>59</v>
      </c>
    </row>
    <row r="193" customFormat="false" ht="15" hidden="false" customHeight="false" outlineLevel="0" collapsed="false">
      <c r="A193" s="12" t="s">
        <v>332</v>
      </c>
      <c r="B193" s="13" t="s">
        <v>191</v>
      </c>
      <c r="C193" s="14" t="s">
        <v>333</v>
      </c>
      <c r="D193" s="15" t="n">
        <v>130</v>
      </c>
      <c r="E193" s="16" t="n">
        <v>59</v>
      </c>
      <c r="F193" s="13" t="s">
        <v>42</v>
      </c>
      <c r="G193" s="15" t="n">
        <v>1</v>
      </c>
      <c r="H193" s="5" t="str">
        <f aca="false">SUBSTITUTE(A193,"MS","",1)</f>
        <v>53544</v>
      </c>
      <c r="I193" s="5" t="str">
        <f aca="false">VLOOKUP(F193,O:P,2,FALSE())</f>
        <v>Skis Alpin </v>
      </c>
      <c r="J193" s="5" t="str">
        <f aca="false">CONCATENATE(B193," ",C193)</f>
        <v>atomic j2-</v>
      </c>
      <c r="K193" s="5" t="str">
        <f aca="false">IF(D193&lt;80,VLOOKUP(D193,R:S,2,FALSE()),CONCATENATE(D193," cm"))</f>
        <v>130 cm</v>
      </c>
      <c r="L193" s="17" t="n">
        <f aca="false">E193</f>
        <v>59</v>
      </c>
    </row>
    <row r="194" customFormat="false" ht="15" hidden="false" customHeight="false" outlineLevel="0" collapsed="false">
      <c r="A194" s="12" t="s">
        <v>334</v>
      </c>
      <c r="B194" s="13" t="s">
        <v>191</v>
      </c>
      <c r="C194" s="14" t="s">
        <v>333</v>
      </c>
      <c r="D194" s="15" t="n">
        <v>130</v>
      </c>
      <c r="E194" s="16" t="n">
        <v>59</v>
      </c>
      <c r="F194" s="13" t="s">
        <v>42</v>
      </c>
      <c r="G194" s="15" t="n">
        <v>1</v>
      </c>
      <c r="H194" s="5" t="str">
        <f aca="false">SUBSTITUTE(A194,"MS","",1)</f>
        <v>53545</v>
      </c>
      <c r="I194" s="5" t="str">
        <f aca="false">VLOOKUP(F194,O:P,2,FALSE())</f>
        <v>Skis Alpin </v>
      </c>
      <c r="J194" s="5" t="str">
        <f aca="false">CONCATENATE(B194," ",C194)</f>
        <v>atomic j2-</v>
      </c>
      <c r="K194" s="5" t="str">
        <f aca="false">IF(D194&lt;80,VLOOKUP(D194,R:S,2,FALSE()),CONCATENATE(D194," cm"))</f>
        <v>130 cm</v>
      </c>
      <c r="L194" s="17" t="n">
        <f aca="false">E194</f>
        <v>59</v>
      </c>
    </row>
    <row r="195" customFormat="false" ht="15" hidden="false" customHeight="false" outlineLevel="0" collapsed="false">
      <c r="A195" s="12" t="s">
        <v>335</v>
      </c>
      <c r="B195" s="13" t="s">
        <v>191</v>
      </c>
      <c r="C195" s="14" t="s">
        <v>333</v>
      </c>
      <c r="D195" s="15" t="n">
        <v>130</v>
      </c>
      <c r="E195" s="16" t="n">
        <v>59</v>
      </c>
      <c r="F195" s="13" t="s">
        <v>42</v>
      </c>
      <c r="G195" s="15" t="n">
        <v>1</v>
      </c>
      <c r="H195" s="5" t="str">
        <f aca="false">SUBSTITUTE(A195,"MS","",1)</f>
        <v>53546</v>
      </c>
      <c r="I195" s="5" t="str">
        <f aca="false">VLOOKUP(F195,O:P,2,FALSE())</f>
        <v>Skis Alpin </v>
      </c>
      <c r="J195" s="5" t="str">
        <f aca="false">CONCATENATE(B195," ",C195)</f>
        <v>atomic j2-</v>
      </c>
      <c r="K195" s="5" t="str">
        <f aca="false">IF(D195&lt;80,VLOOKUP(D195,R:S,2,FALSE()),CONCATENATE(D195," cm"))</f>
        <v>130 cm</v>
      </c>
      <c r="L195" s="17" t="n">
        <f aca="false">E195</f>
        <v>59</v>
      </c>
    </row>
    <row r="196" customFormat="false" ht="15" hidden="false" customHeight="false" outlineLevel="0" collapsed="false">
      <c r="A196" s="12" t="s">
        <v>336</v>
      </c>
      <c r="B196" s="13" t="s">
        <v>337</v>
      </c>
      <c r="C196" s="14" t="s">
        <v>294</v>
      </c>
      <c r="D196" s="15" t="n">
        <v>130</v>
      </c>
      <c r="E196" s="16" t="n">
        <v>49</v>
      </c>
      <c r="F196" s="13" t="s">
        <v>42</v>
      </c>
      <c r="G196" s="15" t="n">
        <v>1</v>
      </c>
      <c r="H196" s="5" t="str">
        <f aca="false">SUBSTITUTE(A196,"MS","",1)</f>
        <v>53547</v>
      </c>
      <c r="I196" s="5" t="str">
        <f aca="false">VLOOKUP(F196,O:P,2,FALSE())</f>
        <v>Skis Alpin </v>
      </c>
      <c r="J196" s="5" t="str">
        <f aca="false">CONCATENATE(B196," ",C196)</f>
        <v>fischer rc4</v>
      </c>
      <c r="K196" s="5" t="str">
        <f aca="false">IF(D196&lt;80,VLOOKUP(D196,R:S,2,FALSE()),CONCATENATE(D196," cm"))</f>
        <v>130 cm</v>
      </c>
      <c r="L196" s="17" t="n">
        <f aca="false">E196</f>
        <v>49</v>
      </c>
    </row>
    <row r="197" customFormat="false" ht="15" hidden="false" customHeight="false" outlineLevel="0" collapsed="false">
      <c r="A197" s="12" t="s">
        <v>338</v>
      </c>
      <c r="B197" s="13" t="s">
        <v>337</v>
      </c>
      <c r="C197" s="14" t="s">
        <v>296</v>
      </c>
      <c r="D197" s="15" t="n">
        <v>130</v>
      </c>
      <c r="E197" s="16" t="n">
        <v>55</v>
      </c>
      <c r="F197" s="13" t="s">
        <v>42</v>
      </c>
      <c r="G197" s="15" t="n">
        <v>1</v>
      </c>
      <c r="H197" s="5" t="str">
        <f aca="false">SUBSTITUTE(A197,"MS","",1)</f>
        <v>53548</v>
      </c>
      <c r="I197" s="5" t="str">
        <f aca="false">VLOOKUP(F197,O:P,2,FALSE())</f>
        <v>Skis Alpin </v>
      </c>
      <c r="J197" s="5" t="str">
        <f aca="false">CONCATENATE(B197," ",C197)</f>
        <v>fischer rc5</v>
      </c>
      <c r="K197" s="5" t="str">
        <f aca="false">IF(D197&lt;80,VLOOKUP(D197,R:S,2,FALSE()),CONCATENATE(D197," cm"))</f>
        <v>130 cm</v>
      </c>
      <c r="L197" s="17" t="n">
        <f aca="false">E197</f>
        <v>55</v>
      </c>
    </row>
    <row r="198" customFormat="false" ht="15" hidden="false" customHeight="false" outlineLevel="0" collapsed="false">
      <c r="A198" s="12" t="s">
        <v>339</v>
      </c>
      <c r="B198" s="13" t="s">
        <v>337</v>
      </c>
      <c r="C198" s="14" t="s">
        <v>340</v>
      </c>
      <c r="D198" s="15" t="n">
        <v>130</v>
      </c>
      <c r="E198" s="16" t="n">
        <v>59</v>
      </c>
      <c r="F198" s="13" t="s">
        <v>42</v>
      </c>
      <c r="G198" s="15" t="n">
        <v>1</v>
      </c>
      <c r="H198" s="5" t="str">
        <f aca="false">SUBSTITUTE(A198,"MS","",1)</f>
        <v>53549</v>
      </c>
      <c r="I198" s="5" t="str">
        <f aca="false">VLOOKUP(F198,O:P,2,FALSE())</f>
        <v>Skis Alpin </v>
      </c>
      <c r="J198" s="5" t="str">
        <f aca="false">CONCATENATE(B198," ",C198)</f>
        <v>fischer rc6</v>
      </c>
      <c r="K198" s="5" t="str">
        <f aca="false">IF(D198&lt;80,VLOOKUP(D198,R:S,2,FALSE()),CONCATENATE(D198," cm"))</f>
        <v>130 cm</v>
      </c>
      <c r="L198" s="17" t="n">
        <f aca="false">E198</f>
        <v>59</v>
      </c>
    </row>
    <row r="199" customFormat="false" ht="15" hidden="false" customHeight="false" outlineLevel="0" collapsed="false">
      <c r="A199" s="12" t="s">
        <v>341</v>
      </c>
      <c r="B199" s="13" t="s">
        <v>105</v>
      </c>
      <c r="C199" s="14" t="s">
        <v>283</v>
      </c>
      <c r="D199" s="15" t="n">
        <v>130</v>
      </c>
      <c r="E199" s="16" t="n">
        <v>59</v>
      </c>
      <c r="F199" s="13" t="s">
        <v>42</v>
      </c>
      <c r="G199" s="15" t="n">
        <v>1</v>
      </c>
      <c r="H199" s="5" t="str">
        <f aca="false">SUBSTITUTE(A199,"MS","",1)</f>
        <v>53550</v>
      </c>
      <c r="I199" s="5" t="str">
        <f aca="false">VLOOKUP(F199,O:P,2,FALSE())</f>
        <v>Skis Alpin </v>
      </c>
      <c r="J199" s="5" t="str">
        <f aca="false">CONCATENATE(B199," ",C199)</f>
        <v>dynastar speed</v>
      </c>
      <c r="K199" s="5" t="str">
        <f aca="false">IF(D199&lt;80,VLOOKUP(D199,R:S,2,FALSE()),CONCATENATE(D199," cm"))</f>
        <v>130 cm</v>
      </c>
      <c r="L199" s="17" t="n">
        <f aca="false">E199</f>
        <v>59</v>
      </c>
    </row>
    <row r="200" customFormat="false" ht="15" hidden="false" customHeight="false" outlineLevel="0" collapsed="false">
      <c r="A200" s="12" t="s">
        <v>342</v>
      </c>
      <c r="B200" s="13" t="s">
        <v>105</v>
      </c>
      <c r="C200" s="14" t="s">
        <v>283</v>
      </c>
      <c r="D200" s="15" t="n">
        <v>130</v>
      </c>
      <c r="E200" s="16" t="n">
        <v>59</v>
      </c>
      <c r="F200" s="13" t="s">
        <v>42</v>
      </c>
      <c r="G200" s="15" t="n">
        <v>1</v>
      </c>
      <c r="H200" s="5" t="str">
        <f aca="false">SUBSTITUTE(A200,"MS","",1)</f>
        <v>53551</v>
      </c>
      <c r="I200" s="5" t="str">
        <f aca="false">VLOOKUP(F200,O:P,2,FALSE())</f>
        <v>Skis Alpin </v>
      </c>
      <c r="J200" s="5" t="str">
        <f aca="false">CONCATENATE(B200," ",C200)</f>
        <v>dynastar speed</v>
      </c>
      <c r="K200" s="5" t="str">
        <f aca="false">IF(D200&lt;80,VLOOKUP(D200,R:S,2,FALSE()),CONCATENATE(D200," cm"))</f>
        <v>130 cm</v>
      </c>
      <c r="L200" s="17" t="n">
        <f aca="false">E200</f>
        <v>59</v>
      </c>
    </row>
    <row r="201" customFormat="false" ht="15" hidden="false" customHeight="false" outlineLevel="0" collapsed="false">
      <c r="A201" s="12" t="s">
        <v>343</v>
      </c>
      <c r="B201" s="13" t="s">
        <v>105</v>
      </c>
      <c r="C201" s="14" t="s">
        <v>331</v>
      </c>
      <c r="D201" s="15" t="n">
        <v>130</v>
      </c>
      <c r="E201" s="16" t="n">
        <v>59</v>
      </c>
      <c r="F201" s="13" t="s">
        <v>42</v>
      </c>
      <c r="G201" s="15" t="n">
        <v>1</v>
      </c>
      <c r="H201" s="5" t="str">
        <f aca="false">SUBSTITUTE(A201,"MS","",1)</f>
        <v>53552</v>
      </c>
      <c r="I201" s="5" t="str">
        <f aca="false">VLOOKUP(F201,O:P,2,FALSE())</f>
        <v>Skis Alpin </v>
      </c>
      <c r="J201" s="5" t="str">
        <f aca="false">CONCATENATE(B201," ",C201)</f>
        <v>dynastar slider</v>
      </c>
      <c r="K201" s="5" t="str">
        <f aca="false">IF(D201&lt;80,VLOOKUP(D201,R:S,2,FALSE()),CONCATENATE(D201," cm"))</f>
        <v>130 cm</v>
      </c>
      <c r="L201" s="17" t="n">
        <f aca="false">E201</f>
        <v>59</v>
      </c>
    </row>
    <row r="202" customFormat="false" ht="15" hidden="false" customHeight="false" outlineLevel="0" collapsed="false">
      <c r="A202" s="12" t="s">
        <v>344</v>
      </c>
      <c r="B202" s="13" t="s">
        <v>28</v>
      </c>
      <c r="C202" s="14" t="s">
        <v>41</v>
      </c>
      <c r="D202" s="15" t="n">
        <v>130</v>
      </c>
      <c r="E202" s="16" t="n">
        <v>59</v>
      </c>
      <c r="F202" s="13" t="s">
        <v>42</v>
      </c>
      <c r="G202" s="15" t="n">
        <v>1</v>
      </c>
      <c r="H202" s="5" t="str">
        <f aca="false">SUBSTITUTE(A202,"MS","",1)</f>
        <v>53553</v>
      </c>
      <c r="I202" s="5" t="str">
        <f aca="false">VLOOKUP(F202,O:P,2,FALSE())</f>
        <v>Skis Alpin </v>
      </c>
      <c r="J202" s="5" t="str">
        <f aca="false">CONCATENATE(B202," ",C202)</f>
        <v>Rossignol hero</v>
      </c>
      <c r="K202" s="5" t="str">
        <f aca="false">IF(D202&lt;80,VLOOKUP(D202,R:S,2,FALSE()),CONCATENATE(D202," cm"))</f>
        <v>130 cm</v>
      </c>
      <c r="L202" s="17" t="n">
        <f aca="false">E202</f>
        <v>59</v>
      </c>
    </row>
    <row r="203" customFormat="false" ht="15" hidden="false" customHeight="false" outlineLevel="0" collapsed="false">
      <c r="A203" s="12" t="s">
        <v>345</v>
      </c>
      <c r="B203" s="13" t="s">
        <v>28</v>
      </c>
      <c r="C203" s="14" t="s">
        <v>41</v>
      </c>
      <c r="D203" s="15" t="n">
        <v>130</v>
      </c>
      <c r="E203" s="16" t="n">
        <v>59</v>
      </c>
      <c r="F203" s="13" t="s">
        <v>42</v>
      </c>
      <c r="G203" s="15" t="n">
        <v>1</v>
      </c>
      <c r="H203" s="5" t="str">
        <f aca="false">SUBSTITUTE(A203,"MS","",1)</f>
        <v>53554</v>
      </c>
      <c r="I203" s="5" t="str">
        <f aca="false">VLOOKUP(F203,O:P,2,FALSE())</f>
        <v>Skis Alpin </v>
      </c>
      <c r="J203" s="5" t="str">
        <f aca="false">CONCATENATE(B203," ",C203)</f>
        <v>Rossignol hero</v>
      </c>
      <c r="K203" s="5" t="str">
        <f aca="false">IF(D203&lt;80,VLOOKUP(D203,R:S,2,FALSE()),CONCATENATE(D203," cm"))</f>
        <v>130 cm</v>
      </c>
      <c r="L203" s="17" t="n">
        <f aca="false">E203</f>
        <v>59</v>
      </c>
    </row>
    <row r="204" customFormat="false" ht="15" hidden="false" customHeight="false" outlineLevel="0" collapsed="false">
      <c r="A204" s="12" t="s">
        <v>346</v>
      </c>
      <c r="B204" s="13" t="s">
        <v>28</v>
      </c>
      <c r="C204" s="14" t="s">
        <v>41</v>
      </c>
      <c r="D204" s="15" t="n">
        <v>130</v>
      </c>
      <c r="E204" s="16" t="n">
        <v>59</v>
      </c>
      <c r="F204" s="13" t="s">
        <v>42</v>
      </c>
      <c r="G204" s="15" t="n">
        <v>1</v>
      </c>
      <c r="H204" s="5" t="str">
        <f aca="false">SUBSTITUTE(A204,"MS","",1)</f>
        <v>53555</v>
      </c>
      <c r="I204" s="5" t="str">
        <f aca="false">VLOOKUP(F204,O:P,2,FALSE())</f>
        <v>Skis Alpin </v>
      </c>
      <c r="J204" s="5" t="str">
        <f aca="false">CONCATENATE(B204," ",C204)</f>
        <v>Rossignol hero</v>
      </c>
      <c r="K204" s="5" t="str">
        <f aca="false">IF(D204&lt;80,VLOOKUP(D204,R:S,2,FALSE()),CONCATENATE(D204," cm"))</f>
        <v>130 cm</v>
      </c>
      <c r="L204" s="17" t="n">
        <f aca="false">E204</f>
        <v>59</v>
      </c>
    </row>
    <row r="205" customFormat="false" ht="15" hidden="false" customHeight="false" outlineLevel="0" collapsed="false">
      <c r="A205" s="12" t="s">
        <v>347</v>
      </c>
      <c r="B205" s="13" t="s">
        <v>28</v>
      </c>
      <c r="C205" s="14" t="s">
        <v>41</v>
      </c>
      <c r="D205" s="15" t="n">
        <v>130</v>
      </c>
      <c r="E205" s="16" t="n">
        <v>59</v>
      </c>
      <c r="F205" s="13" t="s">
        <v>42</v>
      </c>
      <c r="G205" s="15" t="n">
        <v>1</v>
      </c>
      <c r="H205" s="5" t="str">
        <f aca="false">SUBSTITUTE(A205,"MS","",1)</f>
        <v>53556</v>
      </c>
      <c r="I205" s="5" t="str">
        <f aca="false">VLOOKUP(F205,O:P,2,FALSE())</f>
        <v>Skis Alpin </v>
      </c>
      <c r="J205" s="5" t="str">
        <f aca="false">CONCATENATE(B205," ",C205)</f>
        <v>Rossignol hero</v>
      </c>
      <c r="K205" s="5" t="str">
        <f aca="false">IF(D205&lt;80,VLOOKUP(D205,R:S,2,FALSE()),CONCATENATE(D205," cm"))</f>
        <v>130 cm</v>
      </c>
      <c r="L205" s="17" t="n">
        <f aca="false">E205</f>
        <v>59</v>
      </c>
    </row>
    <row r="206" customFormat="false" ht="15" hidden="false" customHeight="false" outlineLevel="0" collapsed="false">
      <c r="A206" s="12" t="s">
        <v>348</v>
      </c>
      <c r="B206" s="13" t="s">
        <v>28</v>
      </c>
      <c r="C206" s="14" t="s">
        <v>41</v>
      </c>
      <c r="D206" s="15" t="n">
        <v>130</v>
      </c>
      <c r="E206" s="16" t="n">
        <v>55</v>
      </c>
      <c r="F206" s="13" t="s">
        <v>42</v>
      </c>
      <c r="G206" s="15" t="n">
        <v>1</v>
      </c>
      <c r="H206" s="5" t="str">
        <f aca="false">SUBSTITUTE(A206,"MS","",1)</f>
        <v>53557</v>
      </c>
      <c r="I206" s="5" t="str">
        <f aca="false">VLOOKUP(F206,O:P,2,FALSE())</f>
        <v>Skis Alpin </v>
      </c>
      <c r="J206" s="5" t="str">
        <f aca="false">CONCATENATE(B206," ",C206)</f>
        <v>Rossignol hero</v>
      </c>
      <c r="K206" s="5" t="str">
        <f aca="false">IF(D206&lt;80,VLOOKUP(D206,R:S,2,FALSE()),CONCATENATE(D206," cm"))</f>
        <v>130 cm</v>
      </c>
      <c r="L206" s="17" t="n">
        <f aca="false">E206</f>
        <v>55</v>
      </c>
    </row>
    <row r="207" customFormat="false" ht="15" hidden="false" customHeight="false" outlineLevel="0" collapsed="false">
      <c r="A207" s="12" t="s">
        <v>349</v>
      </c>
      <c r="B207" s="13" t="s">
        <v>28</v>
      </c>
      <c r="C207" s="14" t="s">
        <v>41</v>
      </c>
      <c r="D207" s="15" t="n">
        <v>130</v>
      </c>
      <c r="E207" s="16" t="n">
        <v>55</v>
      </c>
      <c r="F207" s="13" t="s">
        <v>42</v>
      </c>
      <c r="G207" s="15" t="n">
        <v>1</v>
      </c>
      <c r="H207" s="5" t="str">
        <f aca="false">SUBSTITUTE(A207,"MS","",1)</f>
        <v>53558</v>
      </c>
      <c r="I207" s="5" t="str">
        <f aca="false">VLOOKUP(F207,O:P,2,FALSE())</f>
        <v>Skis Alpin </v>
      </c>
      <c r="J207" s="5" t="str">
        <f aca="false">CONCATENATE(B207," ",C207)</f>
        <v>Rossignol hero</v>
      </c>
      <c r="K207" s="5" t="str">
        <f aca="false">IF(D207&lt;80,VLOOKUP(D207,R:S,2,FALSE()),CONCATENATE(D207," cm"))</f>
        <v>130 cm</v>
      </c>
      <c r="L207" s="17" t="n">
        <f aca="false">E207</f>
        <v>55</v>
      </c>
    </row>
    <row r="208" customFormat="false" ht="15" hidden="false" customHeight="false" outlineLevel="0" collapsed="false">
      <c r="A208" s="12" t="s">
        <v>350</v>
      </c>
      <c r="B208" s="13" t="s">
        <v>28</v>
      </c>
      <c r="C208" s="14" t="s">
        <v>162</v>
      </c>
      <c r="D208" s="15" t="n">
        <v>130</v>
      </c>
      <c r="E208" s="16" t="n">
        <v>55</v>
      </c>
      <c r="F208" s="13" t="s">
        <v>42</v>
      </c>
      <c r="G208" s="15" t="n">
        <v>1</v>
      </c>
      <c r="H208" s="5" t="str">
        <f aca="false">SUBSTITUTE(A208,"MS","",1)</f>
        <v>53559</v>
      </c>
      <c r="I208" s="5" t="str">
        <f aca="false">VLOOKUP(F208,O:P,2,FALSE())</f>
        <v>Skis Alpin </v>
      </c>
      <c r="J208" s="5" t="str">
        <f aca="false">CONCATENATE(B208," ",C208)</f>
        <v>Rossignol exp</v>
      </c>
      <c r="K208" s="5" t="str">
        <f aca="false">IF(D208&lt;80,VLOOKUP(D208,R:S,2,FALSE()),CONCATENATE(D208," cm"))</f>
        <v>130 cm</v>
      </c>
      <c r="L208" s="17" t="n">
        <f aca="false">E208</f>
        <v>55</v>
      </c>
    </row>
    <row r="209" customFormat="false" ht="15" hidden="false" customHeight="false" outlineLevel="0" collapsed="false">
      <c r="A209" s="12" t="s">
        <v>351</v>
      </c>
      <c r="B209" s="13" t="s">
        <v>28</v>
      </c>
      <c r="C209" s="14" t="s">
        <v>352</v>
      </c>
      <c r="D209" s="15" t="n">
        <v>130</v>
      </c>
      <c r="E209" s="16" t="n">
        <v>59</v>
      </c>
      <c r="F209" s="13" t="s">
        <v>42</v>
      </c>
      <c r="G209" s="15" t="n">
        <v>1</v>
      </c>
      <c r="H209" s="5" t="str">
        <f aca="false">SUBSTITUTE(A209,"MS","",1)</f>
        <v>53560</v>
      </c>
      <c r="I209" s="5" t="str">
        <f aca="false">VLOOKUP(F209,O:P,2,FALSE())</f>
        <v>Skis Alpin </v>
      </c>
      <c r="J209" s="5" t="str">
        <f aca="false">CONCATENATE(B209," ",C209)</f>
        <v>Rossignol temp</v>
      </c>
      <c r="K209" s="5" t="str">
        <f aca="false">IF(D209&lt;80,VLOOKUP(D209,R:S,2,FALSE()),CONCATENATE(D209," cm"))</f>
        <v>130 cm</v>
      </c>
      <c r="L209" s="17" t="n">
        <f aca="false">E209</f>
        <v>59</v>
      </c>
    </row>
    <row r="210" customFormat="false" ht="15" hidden="false" customHeight="false" outlineLevel="0" collapsed="false">
      <c r="A210" s="12" t="s">
        <v>353</v>
      </c>
      <c r="B210" s="13" t="s">
        <v>28</v>
      </c>
      <c r="C210" s="14" t="s">
        <v>210</v>
      </c>
      <c r="D210" s="15" t="n">
        <v>130</v>
      </c>
      <c r="E210" s="16" t="n">
        <v>69</v>
      </c>
      <c r="F210" s="13" t="s">
        <v>42</v>
      </c>
      <c r="G210" s="15" t="n">
        <v>1</v>
      </c>
      <c r="H210" s="5" t="str">
        <f aca="false">SUBSTITUTE(A210,"MS","",1)</f>
        <v>53561</v>
      </c>
      <c r="I210" s="5" t="str">
        <f aca="false">VLOOKUP(F210,O:P,2,FALSE())</f>
        <v>Skis Alpin </v>
      </c>
      <c r="J210" s="5" t="str">
        <f aca="false">CONCATENATE(B210," ",C210)</f>
        <v>Rossignol famous</v>
      </c>
      <c r="K210" s="5" t="str">
        <f aca="false">IF(D210&lt;80,VLOOKUP(D210,R:S,2,FALSE()),CONCATENATE(D210," cm"))</f>
        <v>130 cm</v>
      </c>
      <c r="L210" s="17" t="n">
        <f aca="false">E210</f>
        <v>69</v>
      </c>
    </row>
    <row r="211" customFormat="false" ht="15" hidden="false" customHeight="false" outlineLevel="0" collapsed="false">
      <c r="A211" s="12" t="s">
        <v>354</v>
      </c>
      <c r="B211" s="13" t="s">
        <v>28</v>
      </c>
      <c r="C211" s="14" t="s">
        <v>210</v>
      </c>
      <c r="D211" s="15" t="n">
        <v>120</v>
      </c>
      <c r="E211" s="16" t="n">
        <v>69</v>
      </c>
      <c r="F211" s="13" t="s">
        <v>42</v>
      </c>
      <c r="G211" s="15" t="n">
        <v>1</v>
      </c>
      <c r="H211" s="5" t="str">
        <f aca="false">SUBSTITUTE(A211,"MS","",1)</f>
        <v>53562</v>
      </c>
      <c r="I211" s="5" t="str">
        <f aca="false">VLOOKUP(F211,O:P,2,FALSE())</f>
        <v>Skis Alpin </v>
      </c>
      <c r="J211" s="5" t="str">
        <f aca="false">CONCATENATE(B211," ",C211)</f>
        <v>Rossignol famous</v>
      </c>
      <c r="K211" s="5" t="str">
        <f aca="false">IF(D211&lt;80,VLOOKUP(D211,R:S,2,FALSE()),CONCATENATE(D211," cm"))</f>
        <v>120 cm</v>
      </c>
      <c r="L211" s="17" t="n">
        <f aca="false">E211</f>
        <v>69</v>
      </c>
    </row>
    <row r="212" customFormat="false" ht="15" hidden="false" customHeight="false" outlineLevel="0" collapsed="false">
      <c r="A212" s="12" t="s">
        <v>355</v>
      </c>
      <c r="B212" s="13" t="s">
        <v>28</v>
      </c>
      <c r="C212" s="14" t="s">
        <v>356</v>
      </c>
      <c r="D212" s="15" t="n">
        <v>116</v>
      </c>
      <c r="E212" s="16" t="n">
        <v>55</v>
      </c>
      <c r="F212" s="13" t="s">
        <v>42</v>
      </c>
      <c r="G212" s="15" t="n">
        <v>1</v>
      </c>
      <c r="H212" s="5" t="str">
        <f aca="false">SUBSTITUTE(A212,"MS","",1)</f>
        <v>53563</v>
      </c>
      <c r="I212" s="5" t="str">
        <f aca="false">VLOOKUP(F212,O:P,2,FALSE())</f>
        <v>Skis Alpin </v>
      </c>
      <c r="J212" s="5" t="str">
        <f aca="false">CONCATENATE(B212," ",C212)</f>
        <v>Rossignol star wars</v>
      </c>
      <c r="K212" s="5" t="str">
        <f aca="false">IF(D212&lt;80,VLOOKUP(D212,R:S,2,FALSE()),CONCATENATE(D212," cm"))</f>
        <v>116 cm</v>
      </c>
      <c r="L212" s="17" t="n">
        <f aca="false">E212</f>
        <v>55</v>
      </c>
    </row>
    <row r="213" customFormat="false" ht="15" hidden="false" customHeight="false" outlineLevel="0" collapsed="false">
      <c r="A213" s="12" t="s">
        <v>357</v>
      </c>
      <c r="B213" s="13" t="s">
        <v>358</v>
      </c>
      <c r="C213" s="14" t="s">
        <v>359</v>
      </c>
      <c r="D213" s="15" t="n">
        <v>130</v>
      </c>
      <c r="E213" s="16" t="n">
        <v>59</v>
      </c>
      <c r="F213" s="13" t="s">
        <v>42</v>
      </c>
      <c r="G213" s="15" t="n">
        <v>1</v>
      </c>
      <c r="H213" s="5" t="str">
        <f aca="false">SUBSTITUTE(A213,"MS","",1)</f>
        <v>53564</v>
      </c>
      <c r="I213" s="5" t="str">
        <f aca="false">VLOOKUP(F213,O:P,2,FALSE())</f>
        <v>Skis Alpin </v>
      </c>
      <c r="J213" s="5" t="str">
        <f aca="false">CONCATENATE(B213," ",C213)</f>
        <v>nordica jr</v>
      </c>
      <c r="K213" s="5" t="str">
        <f aca="false">IF(D213&lt;80,VLOOKUP(D213,R:S,2,FALSE()),CONCATENATE(D213," cm"))</f>
        <v>130 cm</v>
      </c>
      <c r="L213" s="17" t="n">
        <f aca="false">E213</f>
        <v>59</v>
      </c>
    </row>
    <row r="214" customFormat="false" ht="15" hidden="false" customHeight="false" outlineLevel="0" collapsed="false">
      <c r="A214" s="12" t="s">
        <v>360</v>
      </c>
      <c r="B214" s="13" t="s">
        <v>73</v>
      </c>
      <c r="C214" s="14" t="s">
        <v>361</v>
      </c>
      <c r="D214" s="15" t="n">
        <v>130</v>
      </c>
      <c r="E214" s="16" t="n">
        <v>49</v>
      </c>
      <c r="F214" s="13" t="s">
        <v>42</v>
      </c>
      <c r="G214" s="15" t="n">
        <v>1</v>
      </c>
      <c r="H214" s="5" t="str">
        <f aca="false">SUBSTITUTE(A214,"MS","",1)</f>
        <v>53565</v>
      </c>
      <c r="I214" s="5" t="str">
        <f aca="false">VLOOKUP(F214,O:P,2,FALSE())</f>
        <v>Skis Alpin </v>
      </c>
      <c r="J214" s="5" t="str">
        <f aca="false">CONCATENATE(B214," ",C214)</f>
        <v>volkl chica</v>
      </c>
      <c r="K214" s="5" t="str">
        <f aca="false">IF(D214&lt;80,VLOOKUP(D214,R:S,2,FALSE()),CONCATENATE(D214," cm"))</f>
        <v>130 cm</v>
      </c>
      <c r="L214" s="17" t="n">
        <f aca="false">E214</f>
        <v>49</v>
      </c>
    </row>
    <row r="215" customFormat="false" ht="15" hidden="false" customHeight="false" outlineLevel="0" collapsed="false">
      <c r="A215" s="12" t="s">
        <v>362</v>
      </c>
      <c r="B215" s="13" t="s">
        <v>111</v>
      </c>
      <c r="C215" s="14" t="s">
        <v>289</v>
      </c>
      <c r="D215" s="15" t="n">
        <v>130</v>
      </c>
      <c r="E215" s="16" t="n">
        <v>59</v>
      </c>
      <c r="F215" s="13" t="s">
        <v>42</v>
      </c>
      <c r="G215" s="15" t="n">
        <v>1</v>
      </c>
      <c r="H215" s="5" t="str">
        <f aca="false">SUBSTITUTE(A215,"MS","",1)</f>
        <v>53566</v>
      </c>
      <c r="I215" s="5" t="str">
        <f aca="false">VLOOKUP(F215,O:P,2,FALSE())</f>
        <v>Skis Alpin </v>
      </c>
      <c r="J215" s="5" t="str">
        <f aca="false">CONCATENATE(B215," ",C215)</f>
        <v>elan rc</v>
      </c>
      <c r="K215" s="5" t="str">
        <f aca="false">IF(D215&lt;80,VLOOKUP(D215,R:S,2,FALSE()),CONCATENATE(D215," cm"))</f>
        <v>130 cm</v>
      </c>
      <c r="L215" s="17" t="n">
        <f aca="false">E215</f>
        <v>59</v>
      </c>
    </row>
    <row r="216" customFormat="false" ht="15" hidden="false" customHeight="false" outlineLevel="0" collapsed="false">
      <c r="A216" s="12" t="s">
        <v>363</v>
      </c>
      <c r="B216" s="13" t="s">
        <v>111</v>
      </c>
      <c r="C216" s="14" t="s">
        <v>289</v>
      </c>
      <c r="D216" s="15" t="n">
        <v>130</v>
      </c>
      <c r="E216" s="16" t="n">
        <v>59</v>
      </c>
      <c r="F216" s="13" t="s">
        <v>42</v>
      </c>
      <c r="G216" s="15" t="n">
        <v>1</v>
      </c>
      <c r="H216" s="5" t="str">
        <f aca="false">SUBSTITUTE(A216,"MS","",1)</f>
        <v>53567</v>
      </c>
      <c r="I216" s="5" t="str">
        <f aca="false">VLOOKUP(F216,O:P,2,FALSE())</f>
        <v>Skis Alpin </v>
      </c>
      <c r="J216" s="5" t="str">
        <f aca="false">CONCATENATE(B216," ",C216)</f>
        <v>elan rc</v>
      </c>
      <c r="K216" s="5" t="str">
        <f aca="false">IF(D216&lt;80,VLOOKUP(D216,R:S,2,FALSE()),CONCATENATE(D216," cm"))</f>
        <v>130 cm</v>
      </c>
      <c r="L216" s="17" t="n">
        <f aca="false">E216</f>
        <v>59</v>
      </c>
    </row>
    <row r="217" customFormat="false" ht="15" hidden="false" customHeight="false" outlineLevel="0" collapsed="false">
      <c r="A217" s="12" t="s">
        <v>364</v>
      </c>
      <c r="B217" s="13" t="s">
        <v>191</v>
      </c>
      <c r="C217" s="14" t="s">
        <v>365</v>
      </c>
      <c r="D217" s="15" t="n">
        <v>120</v>
      </c>
      <c r="E217" s="16" t="n">
        <v>59</v>
      </c>
      <c r="F217" s="13" t="s">
        <v>42</v>
      </c>
      <c r="G217" s="15" t="n">
        <v>1</v>
      </c>
      <c r="H217" s="5" t="str">
        <f aca="false">SUBSTITUTE(A217,"MS","",1)</f>
        <v>53962</v>
      </c>
      <c r="I217" s="5" t="str">
        <f aca="false">VLOOKUP(F217,O:P,2,FALSE())</f>
        <v>Skis Alpin </v>
      </c>
      <c r="J217" s="5" t="str">
        <f aca="false">CONCATENATE(B217," ",C217)</f>
        <v>atomic redster </v>
      </c>
      <c r="K217" s="5" t="str">
        <f aca="false">IF(D217&lt;80,VLOOKUP(D217,R:S,2,FALSE()),CONCATENATE(D217," cm"))</f>
        <v>120 cm</v>
      </c>
      <c r="L217" s="17" t="n">
        <f aca="false">E217</f>
        <v>59</v>
      </c>
    </row>
    <row r="218" customFormat="false" ht="15" hidden="false" customHeight="false" outlineLevel="0" collapsed="false">
      <c r="A218" s="12" t="s">
        <v>366</v>
      </c>
      <c r="B218" s="13" t="s">
        <v>191</v>
      </c>
      <c r="C218" s="14" t="s">
        <v>365</v>
      </c>
      <c r="D218" s="15" t="n">
        <v>120</v>
      </c>
      <c r="E218" s="16" t="n">
        <v>59</v>
      </c>
      <c r="F218" s="13" t="s">
        <v>42</v>
      </c>
      <c r="G218" s="15" t="n">
        <v>1</v>
      </c>
      <c r="H218" s="5" t="str">
        <f aca="false">SUBSTITUTE(A218,"MS","",1)</f>
        <v>53963</v>
      </c>
      <c r="I218" s="5" t="str">
        <f aca="false">VLOOKUP(F218,O:P,2,FALSE())</f>
        <v>Skis Alpin </v>
      </c>
      <c r="J218" s="5" t="str">
        <f aca="false">CONCATENATE(B218," ",C218)</f>
        <v>atomic redster </v>
      </c>
      <c r="K218" s="5" t="str">
        <f aca="false">IF(D218&lt;80,VLOOKUP(D218,R:S,2,FALSE()),CONCATENATE(D218," cm"))</f>
        <v>120 cm</v>
      </c>
      <c r="L218" s="17" t="n">
        <f aca="false">E218</f>
        <v>59</v>
      </c>
    </row>
    <row r="219" customFormat="false" ht="15" hidden="false" customHeight="false" outlineLevel="0" collapsed="false">
      <c r="A219" s="12" t="s">
        <v>367</v>
      </c>
      <c r="B219" s="13" t="s">
        <v>368</v>
      </c>
      <c r="C219" s="14" t="s">
        <v>41</v>
      </c>
      <c r="D219" s="15" t="n">
        <v>120</v>
      </c>
      <c r="E219" s="16" t="n">
        <v>59</v>
      </c>
      <c r="F219" s="13" t="s">
        <v>42</v>
      </c>
      <c r="G219" s="15" t="n">
        <v>1</v>
      </c>
      <c r="H219" s="5" t="str">
        <f aca="false">SUBSTITUTE(A219,"MS","",1)</f>
        <v>53964</v>
      </c>
      <c r="I219" s="5" t="str">
        <f aca="false">VLOOKUP(F219,O:P,2,FALSE())</f>
        <v>Skis Alpin </v>
      </c>
      <c r="J219" s="5" t="str">
        <f aca="false">CONCATENATE(B219," ",C219)</f>
        <v>rossignol hero</v>
      </c>
      <c r="K219" s="5" t="str">
        <f aca="false">IF(D219&lt;80,VLOOKUP(D219,R:S,2,FALSE()),CONCATENATE(D219," cm"))</f>
        <v>120 cm</v>
      </c>
      <c r="L219" s="17" t="n">
        <f aca="false">E219</f>
        <v>59</v>
      </c>
    </row>
    <row r="220" customFormat="false" ht="15" hidden="false" customHeight="false" outlineLevel="0" collapsed="false">
      <c r="A220" s="12" t="s">
        <v>369</v>
      </c>
      <c r="B220" s="13" t="s">
        <v>368</v>
      </c>
      <c r="C220" s="14" t="s">
        <v>41</v>
      </c>
      <c r="D220" s="15" t="n">
        <v>120</v>
      </c>
      <c r="E220" s="16" t="n">
        <v>59</v>
      </c>
      <c r="F220" s="13" t="s">
        <v>42</v>
      </c>
      <c r="G220" s="15" t="n">
        <v>1</v>
      </c>
      <c r="H220" s="5" t="str">
        <f aca="false">SUBSTITUTE(A220,"MS","",1)</f>
        <v>53965</v>
      </c>
      <c r="I220" s="5" t="str">
        <f aca="false">VLOOKUP(F220,O:P,2,FALSE())</f>
        <v>Skis Alpin </v>
      </c>
      <c r="J220" s="5" t="str">
        <f aca="false">CONCATENATE(B220," ",C220)</f>
        <v>rossignol hero</v>
      </c>
      <c r="K220" s="5" t="str">
        <f aca="false">IF(D220&lt;80,VLOOKUP(D220,R:S,2,FALSE()),CONCATENATE(D220," cm"))</f>
        <v>120 cm</v>
      </c>
      <c r="L220" s="17" t="n">
        <f aca="false">E220</f>
        <v>59</v>
      </c>
    </row>
    <row r="221" customFormat="false" ht="15" hidden="false" customHeight="false" outlineLevel="0" collapsed="false">
      <c r="A221" s="12" t="s">
        <v>370</v>
      </c>
      <c r="B221" s="13" t="s">
        <v>368</v>
      </c>
      <c r="C221" s="14" t="s">
        <v>41</v>
      </c>
      <c r="D221" s="15" t="n">
        <v>120</v>
      </c>
      <c r="E221" s="16" t="n">
        <v>59</v>
      </c>
      <c r="F221" s="13" t="s">
        <v>42</v>
      </c>
      <c r="G221" s="15" t="n">
        <v>1</v>
      </c>
      <c r="H221" s="5" t="str">
        <f aca="false">SUBSTITUTE(A221,"MS","",1)</f>
        <v>53966</v>
      </c>
      <c r="I221" s="5" t="str">
        <f aca="false">VLOOKUP(F221,O:P,2,FALSE())</f>
        <v>Skis Alpin </v>
      </c>
      <c r="J221" s="5" t="str">
        <f aca="false">CONCATENATE(B221," ",C221)</f>
        <v>rossignol hero</v>
      </c>
      <c r="K221" s="5" t="str">
        <f aca="false">IF(D221&lt;80,VLOOKUP(D221,R:S,2,FALSE()),CONCATENATE(D221," cm"))</f>
        <v>120 cm</v>
      </c>
      <c r="L221" s="17" t="n">
        <f aca="false">E221</f>
        <v>59</v>
      </c>
    </row>
    <row r="222" customFormat="false" ht="15" hidden="false" customHeight="false" outlineLevel="0" collapsed="false">
      <c r="A222" s="12" t="s">
        <v>371</v>
      </c>
      <c r="B222" s="13" t="s">
        <v>368</v>
      </c>
      <c r="C222" s="14" t="s">
        <v>41</v>
      </c>
      <c r="D222" s="15" t="n">
        <v>120</v>
      </c>
      <c r="E222" s="16" t="n">
        <v>55</v>
      </c>
      <c r="F222" s="13" t="s">
        <v>42</v>
      </c>
      <c r="G222" s="15" t="n">
        <v>1</v>
      </c>
      <c r="H222" s="5" t="str">
        <f aca="false">SUBSTITUTE(A222,"MS","",1)</f>
        <v>53967</v>
      </c>
      <c r="I222" s="5" t="str">
        <f aca="false">VLOOKUP(F222,O:P,2,FALSE())</f>
        <v>Skis Alpin </v>
      </c>
      <c r="J222" s="5" t="str">
        <f aca="false">CONCATENATE(B222," ",C222)</f>
        <v>rossignol hero</v>
      </c>
      <c r="K222" s="5" t="str">
        <f aca="false">IF(D222&lt;80,VLOOKUP(D222,R:S,2,FALSE()),CONCATENATE(D222," cm"))</f>
        <v>120 cm</v>
      </c>
      <c r="L222" s="17" t="n">
        <f aca="false">E222</f>
        <v>55</v>
      </c>
    </row>
    <row r="223" customFormat="false" ht="15" hidden="false" customHeight="false" outlineLevel="0" collapsed="false">
      <c r="A223" s="12" t="s">
        <v>372</v>
      </c>
      <c r="B223" s="13" t="s">
        <v>368</v>
      </c>
      <c r="C223" s="14" t="s">
        <v>41</v>
      </c>
      <c r="D223" s="15" t="n">
        <v>120</v>
      </c>
      <c r="E223" s="16" t="n">
        <v>55</v>
      </c>
      <c r="F223" s="13" t="s">
        <v>42</v>
      </c>
      <c r="G223" s="15" t="n">
        <v>1</v>
      </c>
      <c r="H223" s="5" t="str">
        <f aca="false">SUBSTITUTE(A223,"MS","",1)</f>
        <v>53968</v>
      </c>
      <c r="I223" s="5" t="str">
        <f aca="false">VLOOKUP(F223,O:P,2,FALSE())</f>
        <v>Skis Alpin </v>
      </c>
      <c r="J223" s="5" t="str">
        <f aca="false">CONCATENATE(B223," ",C223)</f>
        <v>rossignol hero</v>
      </c>
      <c r="K223" s="5" t="str">
        <f aca="false">IF(D223&lt;80,VLOOKUP(D223,R:S,2,FALSE()),CONCATENATE(D223," cm"))</f>
        <v>120 cm</v>
      </c>
      <c r="L223" s="17" t="n">
        <f aca="false">E223</f>
        <v>55</v>
      </c>
    </row>
    <row r="224" customFormat="false" ht="15" hidden="false" customHeight="false" outlineLevel="0" collapsed="false">
      <c r="A224" s="12" t="s">
        <v>373</v>
      </c>
      <c r="B224" s="13" t="s">
        <v>368</v>
      </c>
      <c r="C224" s="14" t="s">
        <v>41</v>
      </c>
      <c r="D224" s="15" t="n">
        <v>120</v>
      </c>
      <c r="E224" s="16" t="n">
        <v>55</v>
      </c>
      <c r="F224" s="13" t="s">
        <v>42</v>
      </c>
      <c r="G224" s="15" t="n">
        <v>1</v>
      </c>
      <c r="H224" s="5" t="str">
        <f aca="false">SUBSTITUTE(A224,"MS","",1)</f>
        <v>53969</v>
      </c>
      <c r="I224" s="5" t="str">
        <f aca="false">VLOOKUP(F224,O:P,2,FALSE())</f>
        <v>Skis Alpin </v>
      </c>
      <c r="J224" s="5" t="str">
        <f aca="false">CONCATENATE(B224," ",C224)</f>
        <v>rossignol hero</v>
      </c>
      <c r="K224" s="5" t="str">
        <f aca="false">IF(D224&lt;80,VLOOKUP(D224,R:S,2,FALSE()),CONCATENATE(D224," cm"))</f>
        <v>120 cm</v>
      </c>
      <c r="L224" s="17" t="n">
        <f aca="false">E224</f>
        <v>55</v>
      </c>
    </row>
    <row r="225" customFormat="false" ht="15" hidden="false" customHeight="false" outlineLevel="0" collapsed="false">
      <c r="A225" s="12" t="s">
        <v>374</v>
      </c>
      <c r="B225" s="13" t="s">
        <v>368</v>
      </c>
      <c r="C225" s="14" t="s">
        <v>41</v>
      </c>
      <c r="D225" s="15" t="n">
        <v>120</v>
      </c>
      <c r="E225" s="16" t="n">
        <v>55</v>
      </c>
      <c r="F225" s="13" t="s">
        <v>42</v>
      </c>
      <c r="G225" s="15" t="n">
        <v>1</v>
      </c>
      <c r="H225" s="5" t="str">
        <f aca="false">SUBSTITUTE(A225,"MS","",1)</f>
        <v>53970</v>
      </c>
      <c r="I225" s="5" t="str">
        <f aca="false">VLOOKUP(F225,O:P,2,FALSE())</f>
        <v>Skis Alpin </v>
      </c>
      <c r="J225" s="5" t="str">
        <f aca="false">CONCATENATE(B225," ",C225)</f>
        <v>rossignol hero</v>
      </c>
      <c r="K225" s="5" t="str">
        <f aca="false">IF(D225&lt;80,VLOOKUP(D225,R:S,2,FALSE()),CONCATENATE(D225," cm"))</f>
        <v>120 cm</v>
      </c>
      <c r="L225" s="17" t="n">
        <f aca="false">E225</f>
        <v>55</v>
      </c>
    </row>
    <row r="226" customFormat="false" ht="15" hidden="false" customHeight="false" outlineLevel="0" collapsed="false">
      <c r="A226" s="12" t="s">
        <v>375</v>
      </c>
      <c r="B226" s="13" t="s">
        <v>368</v>
      </c>
      <c r="C226" s="14" t="s">
        <v>356</v>
      </c>
      <c r="D226" s="15" t="n">
        <v>120</v>
      </c>
      <c r="E226" s="16" t="n">
        <v>55</v>
      </c>
      <c r="F226" s="13" t="s">
        <v>42</v>
      </c>
      <c r="G226" s="15" t="n">
        <v>1</v>
      </c>
      <c r="H226" s="5" t="str">
        <f aca="false">SUBSTITUTE(A226,"MS","",1)</f>
        <v>53971</v>
      </c>
      <c r="I226" s="5" t="str">
        <f aca="false">VLOOKUP(F226,O:P,2,FALSE())</f>
        <v>Skis Alpin </v>
      </c>
      <c r="J226" s="5" t="str">
        <f aca="false">CONCATENATE(B226," ",C226)</f>
        <v>rossignol star wars</v>
      </c>
      <c r="K226" s="5" t="str">
        <f aca="false">IF(D226&lt;80,VLOOKUP(D226,R:S,2,FALSE()),CONCATENATE(D226," cm"))</f>
        <v>120 cm</v>
      </c>
      <c r="L226" s="17" t="n">
        <f aca="false">E226</f>
        <v>55</v>
      </c>
    </row>
    <row r="227" customFormat="false" ht="15" hidden="false" customHeight="false" outlineLevel="0" collapsed="false">
      <c r="A227" s="12" t="s">
        <v>376</v>
      </c>
      <c r="B227" s="13" t="s">
        <v>105</v>
      </c>
      <c r="C227" s="14" t="s">
        <v>283</v>
      </c>
      <c r="D227" s="15" t="n">
        <v>120</v>
      </c>
      <c r="E227" s="16" t="n">
        <v>59</v>
      </c>
      <c r="F227" s="13" t="s">
        <v>42</v>
      </c>
      <c r="G227" s="15" t="n">
        <v>1</v>
      </c>
      <c r="H227" s="5" t="str">
        <f aca="false">SUBSTITUTE(A227,"MS","",1)</f>
        <v>53972</v>
      </c>
      <c r="I227" s="5" t="str">
        <f aca="false">VLOOKUP(F227,O:P,2,FALSE())</f>
        <v>Skis Alpin </v>
      </c>
      <c r="J227" s="5" t="str">
        <f aca="false">CONCATENATE(B227," ",C227)</f>
        <v>dynastar speed</v>
      </c>
      <c r="K227" s="5" t="str">
        <f aca="false">IF(D227&lt;80,VLOOKUP(D227,R:S,2,FALSE()),CONCATENATE(D227," cm"))</f>
        <v>120 cm</v>
      </c>
      <c r="L227" s="17" t="n">
        <f aca="false">E227</f>
        <v>59</v>
      </c>
    </row>
    <row r="228" customFormat="false" ht="15" hidden="false" customHeight="false" outlineLevel="0" collapsed="false">
      <c r="A228" s="12" t="s">
        <v>377</v>
      </c>
      <c r="B228" s="13" t="s">
        <v>105</v>
      </c>
      <c r="C228" s="14" t="s">
        <v>283</v>
      </c>
      <c r="D228" s="15" t="n">
        <v>120</v>
      </c>
      <c r="E228" s="16" t="n">
        <v>59</v>
      </c>
      <c r="F228" s="13" t="s">
        <v>42</v>
      </c>
      <c r="G228" s="15" t="n">
        <v>1</v>
      </c>
      <c r="H228" s="5" t="str">
        <f aca="false">SUBSTITUTE(A228,"MS","",1)</f>
        <v>53973</v>
      </c>
      <c r="I228" s="5" t="str">
        <f aca="false">VLOOKUP(F228,O:P,2,FALSE())</f>
        <v>Skis Alpin </v>
      </c>
      <c r="J228" s="5" t="str">
        <f aca="false">CONCATENATE(B228," ",C228)</f>
        <v>dynastar speed</v>
      </c>
      <c r="K228" s="5" t="str">
        <f aca="false">IF(D228&lt;80,VLOOKUP(D228,R:S,2,FALSE()),CONCATENATE(D228," cm"))</f>
        <v>120 cm</v>
      </c>
      <c r="L228" s="17" t="n">
        <f aca="false">E228</f>
        <v>59</v>
      </c>
    </row>
    <row r="229" customFormat="false" ht="15" hidden="false" customHeight="false" outlineLevel="0" collapsed="false">
      <c r="A229" s="12" t="s">
        <v>378</v>
      </c>
      <c r="B229" s="13" t="s">
        <v>105</v>
      </c>
      <c r="C229" s="14" t="s">
        <v>174</v>
      </c>
      <c r="D229" s="15" t="n">
        <v>120</v>
      </c>
      <c r="E229" s="16" t="n">
        <v>59</v>
      </c>
      <c r="F229" s="13" t="s">
        <v>42</v>
      </c>
      <c r="G229" s="15" t="n">
        <v>1</v>
      </c>
      <c r="H229" s="5" t="str">
        <f aca="false">SUBSTITUTE(A229,"MS","",1)</f>
        <v>53974</v>
      </c>
      <c r="I229" s="5" t="str">
        <f aca="false">VLOOKUP(F229,O:P,2,FALSE())</f>
        <v>Skis Alpin </v>
      </c>
      <c r="J229" s="5" t="str">
        <f aca="false">CONCATENATE(B229," ",C229)</f>
        <v>dynastar legend</v>
      </c>
      <c r="K229" s="5" t="str">
        <f aca="false">IF(D229&lt;80,VLOOKUP(D229,R:S,2,FALSE()),CONCATENATE(D229," cm"))</f>
        <v>120 cm</v>
      </c>
      <c r="L229" s="17" t="n">
        <f aca="false">E229</f>
        <v>59</v>
      </c>
    </row>
    <row r="230" customFormat="false" ht="15" hidden="false" customHeight="false" outlineLevel="0" collapsed="false">
      <c r="A230" s="12" t="s">
        <v>379</v>
      </c>
      <c r="B230" s="13" t="s">
        <v>105</v>
      </c>
      <c r="C230" s="14" t="s">
        <v>174</v>
      </c>
      <c r="D230" s="15" t="n">
        <v>120</v>
      </c>
      <c r="E230" s="16" t="n">
        <v>59</v>
      </c>
      <c r="F230" s="13" t="s">
        <v>42</v>
      </c>
      <c r="G230" s="15" t="n">
        <v>1</v>
      </c>
      <c r="H230" s="5" t="str">
        <f aca="false">SUBSTITUTE(A230,"MS","",1)</f>
        <v>53975</v>
      </c>
      <c r="I230" s="5" t="str">
        <f aca="false">VLOOKUP(F230,O:P,2,FALSE())</f>
        <v>Skis Alpin </v>
      </c>
      <c r="J230" s="5" t="str">
        <f aca="false">CONCATENATE(B230," ",C230)</f>
        <v>dynastar legend</v>
      </c>
      <c r="K230" s="5" t="str">
        <f aca="false">IF(D230&lt;80,VLOOKUP(D230,R:S,2,FALSE()),CONCATENATE(D230," cm"))</f>
        <v>120 cm</v>
      </c>
      <c r="L230" s="17" t="n">
        <f aca="false">E230</f>
        <v>59</v>
      </c>
    </row>
    <row r="231" customFormat="false" ht="15" hidden="false" customHeight="false" outlineLevel="0" collapsed="false">
      <c r="A231" s="12" t="s">
        <v>380</v>
      </c>
      <c r="B231" s="13" t="s">
        <v>105</v>
      </c>
      <c r="C231" s="14" t="s">
        <v>174</v>
      </c>
      <c r="D231" s="15" t="n">
        <v>120</v>
      </c>
      <c r="E231" s="16" t="n">
        <v>59</v>
      </c>
      <c r="F231" s="13" t="s">
        <v>42</v>
      </c>
      <c r="G231" s="15" t="n">
        <v>1</v>
      </c>
      <c r="H231" s="5" t="str">
        <f aca="false">SUBSTITUTE(A231,"MS","",1)</f>
        <v>53976</v>
      </c>
      <c r="I231" s="5" t="str">
        <f aca="false">VLOOKUP(F231,O:P,2,FALSE())</f>
        <v>Skis Alpin </v>
      </c>
      <c r="J231" s="5" t="str">
        <f aca="false">CONCATENATE(B231," ",C231)</f>
        <v>dynastar legend</v>
      </c>
      <c r="K231" s="5" t="str">
        <f aca="false">IF(D231&lt;80,VLOOKUP(D231,R:S,2,FALSE()),CONCATENATE(D231," cm"))</f>
        <v>120 cm</v>
      </c>
      <c r="L231" s="17" t="n">
        <f aca="false">E231</f>
        <v>59</v>
      </c>
    </row>
    <row r="232" customFormat="false" ht="15" hidden="false" customHeight="false" outlineLevel="0" collapsed="false">
      <c r="A232" s="12" t="s">
        <v>381</v>
      </c>
      <c r="B232" s="13" t="s">
        <v>263</v>
      </c>
      <c r="C232" s="14" t="s">
        <v>382</v>
      </c>
      <c r="D232" s="15" t="n">
        <v>120</v>
      </c>
      <c r="E232" s="16" t="n">
        <v>55</v>
      </c>
      <c r="F232" s="13" t="s">
        <v>42</v>
      </c>
      <c r="G232" s="15" t="n">
        <v>1</v>
      </c>
      <c r="H232" s="5" t="str">
        <f aca="false">SUBSTITUTE(A232,"MS","",1)</f>
        <v>53977</v>
      </c>
      <c r="I232" s="5" t="str">
        <f aca="false">VLOOKUP(F232,O:P,2,FALSE())</f>
        <v>Skis Alpin </v>
      </c>
      <c r="J232" s="5" t="str">
        <f aca="false">CONCATENATE(B232," ",C232)</f>
        <v>blizzard bonafide</v>
      </c>
      <c r="K232" s="5" t="str">
        <f aca="false">IF(D232&lt;80,VLOOKUP(D232,R:S,2,FALSE()),CONCATENATE(D232," cm"))</f>
        <v>120 cm</v>
      </c>
      <c r="L232" s="17" t="n">
        <f aca="false">E232</f>
        <v>55</v>
      </c>
    </row>
    <row r="233" customFormat="false" ht="15" hidden="false" customHeight="false" outlineLevel="0" collapsed="false">
      <c r="A233" s="12" t="s">
        <v>383</v>
      </c>
      <c r="B233" s="13" t="s">
        <v>384</v>
      </c>
      <c r="C233" s="14" t="s">
        <v>385</v>
      </c>
      <c r="D233" s="15" t="n">
        <v>120</v>
      </c>
      <c r="E233" s="16" t="n">
        <v>49</v>
      </c>
      <c r="F233" s="13" t="s">
        <v>42</v>
      </c>
      <c r="G233" s="15" t="n">
        <v>1</v>
      </c>
      <c r="H233" s="5" t="str">
        <f aca="false">SUBSTITUTE(A233,"MS","",1)</f>
        <v>53978</v>
      </c>
      <c r="I233" s="5" t="str">
        <f aca="false">VLOOKUP(F233,O:P,2,FALSE())</f>
        <v>Skis Alpin </v>
      </c>
      <c r="J233" s="5" t="str">
        <f aca="false">CONCATENATE(B233," ",C233)</f>
        <v>scott stuf</v>
      </c>
      <c r="K233" s="5" t="str">
        <f aca="false">IF(D233&lt;80,VLOOKUP(D233,R:S,2,FALSE()),CONCATENATE(D233," cm"))</f>
        <v>120 cm</v>
      </c>
      <c r="L233" s="17" t="n">
        <f aca="false">E233</f>
        <v>49</v>
      </c>
    </row>
    <row r="234" customFormat="false" ht="15" hidden="false" customHeight="false" outlineLevel="0" collapsed="false">
      <c r="A234" s="12" t="s">
        <v>386</v>
      </c>
      <c r="B234" s="13" t="s">
        <v>293</v>
      </c>
      <c r="C234" s="14" t="s">
        <v>294</v>
      </c>
      <c r="D234" s="15" t="n">
        <v>120</v>
      </c>
      <c r="E234" s="16" t="n">
        <v>49</v>
      </c>
      <c r="F234" s="13" t="s">
        <v>42</v>
      </c>
      <c r="G234" s="15" t="n">
        <v>1</v>
      </c>
      <c r="H234" s="5" t="str">
        <f aca="false">SUBSTITUTE(A234,"MS","",1)</f>
        <v>53979</v>
      </c>
      <c r="I234" s="5" t="str">
        <f aca="false">VLOOKUP(F234,O:P,2,FALSE())</f>
        <v>Skis Alpin </v>
      </c>
      <c r="J234" s="5" t="str">
        <f aca="false">CONCATENATE(B234," ",C234)</f>
        <v>fisher rc4</v>
      </c>
      <c r="K234" s="5" t="str">
        <f aca="false">IF(D234&lt;80,VLOOKUP(D234,R:S,2,FALSE()),CONCATENATE(D234," cm"))</f>
        <v>120 cm</v>
      </c>
      <c r="L234" s="17" t="n">
        <f aca="false">E234</f>
        <v>49</v>
      </c>
    </row>
    <row r="235" customFormat="false" ht="15" hidden="false" customHeight="false" outlineLevel="0" collapsed="false">
      <c r="A235" s="12" t="s">
        <v>387</v>
      </c>
      <c r="B235" s="13" t="s">
        <v>191</v>
      </c>
      <c r="C235" s="14" t="s">
        <v>388</v>
      </c>
      <c r="D235" s="15" t="n">
        <v>120</v>
      </c>
      <c r="E235" s="16" t="n">
        <v>55</v>
      </c>
      <c r="F235" s="13" t="s">
        <v>42</v>
      </c>
      <c r="G235" s="15" t="n">
        <v>1</v>
      </c>
      <c r="H235" s="5" t="str">
        <f aca="false">SUBSTITUTE(A235,"MS","",1)</f>
        <v>53980</v>
      </c>
      <c r="I235" s="5" t="str">
        <f aca="false">VLOOKUP(F235,O:P,2,FALSE())</f>
        <v>Skis Alpin </v>
      </c>
      <c r="J235" s="5" t="str">
        <f aca="false">CONCATENATE(B235," ",C235)</f>
        <v>atomic vantage</v>
      </c>
      <c r="K235" s="5" t="str">
        <f aca="false">IF(D235&lt;80,VLOOKUP(D235,R:S,2,FALSE()),CONCATENATE(D235," cm"))</f>
        <v>120 cm</v>
      </c>
      <c r="L235" s="17" t="n">
        <f aca="false">E235</f>
        <v>55</v>
      </c>
    </row>
    <row r="236" customFormat="false" ht="15" hidden="false" customHeight="false" outlineLevel="0" collapsed="false">
      <c r="A236" s="12" t="s">
        <v>389</v>
      </c>
      <c r="B236" s="13" t="s">
        <v>191</v>
      </c>
      <c r="C236" s="14" t="s">
        <v>388</v>
      </c>
      <c r="D236" s="15" t="n">
        <v>120</v>
      </c>
      <c r="E236" s="16" t="n">
        <v>55</v>
      </c>
      <c r="F236" s="13" t="s">
        <v>42</v>
      </c>
      <c r="G236" s="15" t="n">
        <v>1</v>
      </c>
      <c r="H236" s="5" t="str">
        <f aca="false">SUBSTITUTE(A236,"MS","",1)</f>
        <v>53981</v>
      </c>
      <c r="I236" s="5" t="str">
        <f aca="false">VLOOKUP(F236,O:P,2,FALSE())</f>
        <v>Skis Alpin </v>
      </c>
      <c r="J236" s="5" t="str">
        <f aca="false">CONCATENATE(B236," ",C236)</f>
        <v>atomic vantage</v>
      </c>
      <c r="K236" s="5" t="str">
        <f aca="false">IF(D236&lt;80,VLOOKUP(D236,R:S,2,FALSE()),CONCATENATE(D236," cm"))</f>
        <v>120 cm</v>
      </c>
      <c r="L236" s="17" t="n">
        <f aca="false">E236</f>
        <v>55</v>
      </c>
    </row>
    <row r="237" customFormat="false" ht="15" hidden="false" customHeight="false" outlineLevel="0" collapsed="false">
      <c r="A237" s="12" t="s">
        <v>390</v>
      </c>
      <c r="B237" s="13" t="s">
        <v>105</v>
      </c>
      <c r="C237" s="14" t="s">
        <v>391</v>
      </c>
      <c r="D237" s="15" t="n">
        <v>110</v>
      </c>
      <c r="E237" s="16" t="n">
        <v>55</v>
      </c>
      <c r="F237" s="13" t="s">
        <v>42</v>
      </c>
      <c r="G237" s="15" t="n">
        <v>1</v>
      </c>
      <c r="H237" s="5" t="str">
        <f aca="false">SUBSTITUTE(A237,"MS","",1)</f>
        <v>53982</v>
      </c>
      <c r="I237" s="5" t="str">
        <f aca="false">VLOOKUP(F237,O:P,2,FALSE())</f>
        <v>Skis Alpin </v>
      </c>
      <c r="J237" s="5" t="str">
        <f aca="false">CONCATENATE(B237," ",C237)</f>
        <v>dynastar comp</v>
      </c>
      <c r="K237" s="5" t="str">
        <f aca="false">IF(D237&lt;80,VLOOKUP(D237,R:S,2,FALSE()),CONCATENATE(D237," cm"))</f>
        <v>110 cm</v>
      </c>
      <c r="L237" s="17" t="n">
        <f aca="false">E237</f>
        <v>55</v>
      </c>
    </row>
    <row r="238" customFormat="false" ht="15" hidden="false" customHeight="false" outlineLevel="0" collapsed="false">
      <c r="A238" s="12" t="s">
        <v>392</v>
      </c>
      <c r="B238" s="13" t="s">
        <v>105</v>
      </c>
      <c r="C238" s="14" t="s">
        <v>393</v>
      </c>
      <c r="D238" s="15" t="n">
        <v>110</v>
      </c>
      <c r="E238" s="16" t="n">
        <v>49</v>
      </c>
      <c r="F238" s="13" t="s">
        <v>42</v>
      </c>
      <c r="G238" s="15" t="n">
        <v>1</v>
      </c>
      <c r="H238" s="5" t="str">
        <f aca="false">SUBSTITUTE(A238,"MS","",1)</f>
        <v>53983</v>
      </c>
      <c r="I238" s="5" t="str">
        <f aca="false">VLOOKUP(F238,O:P,2,FALSE())</f>
        <v>Skis Alpin </v>
      </c>
      <c r="J238" s="5" t="str">
        <f aca="false">CONCATENATE(B238," ",C238)</f>
        <v>dynastar team</v>
      </c>
      <c r="K238" s="5" t="str">
        <f aca="false">IF(D238&lt;80,VLOOKUP(D238,R:S,2,FALSE()),CONCATENATE(D238," cm"))</f>
        <v>110 cm</v>
      </c>
      <c r="L238" s="17" t="n">
        <f aca="false">E238</f>
        <v>49</v>
      </c>
    </row>
    <row r="239" customFormat="false" ht="15" hidden="false" customHeight="false" outlineLevel="0" collapsed="false">
      <c r="A239" s="12" t="s">
        <v>394</v>
      </c>
      <c r="B239" s="13" t="s">
        <v>105</v>
      </c>
      <c r="C239" s="14" t="s">
        <v>393</v>
      </c>
      <c r="D239" s="15" t="n">
        <v>110</v>
      </c>
      <c r="E239" s="16" t="n">
        <v>49</v>
      </c>
      <c r="F239" s="13" t="s">
        <v>42</v>
      </c>
      <c r="G239" s="15" t="n">
        <v>1</v>
      </c>
      <c r="H239" s="5" t="str">
        <f aca="false">SUBSTITUTE(A239,"MS","",1)</f>
        <v>53984</v>
      </c>
      <c r="I239" s="5" t="str">
        <f aca="false">VLOOKUP(F239,O:P,2,FALSE())</f>
        <v>Skis Alpin </v>
      </c>
      <c r="J239" s="5" t="str">
        <f aca="false">CONCATENATE(B239," ",C239)</f>
        <v>dynastar team</v>
      </c>
      <c r="K239" s="5" t="str">
        <f aca="false">IF(D239&lt;80,VLOOKUP(D239,R:S,2,FALSE()),CONCATENATE(D239," cm"))</f>
        <v>110 cm</v>
      </c>
      <c r="L239" s="17" t="n">
        <f aca="false">E239</f>
        <v>49</v>
      </c>
    </row>
    <row r="240" customFormat="false" ht="15" hidden="false" customHeight="false" outlineLevel="0" collapsed="false">
      <c r="A240" s="12" t="s">
        <v>395</v>
      </c>
      <c r="B240" s="13" t="s">
        <v>73</v>
      </c>
      <c r="C240" s="14" t="s">
        <v>393</v>
      </c>
      <c r="D240" s="15" t="n">
        <v>110</v>
      </c>
      <c r="E240" s="16" t="n">
        <v>49</v>
      </c>
      <c r="F240" s="13" t="s">
        <v>42</v>
      </c>
      <c r="G240" s="15" t="n">
        <v>1</v>
      </c>
      <c r="H240" s="5" t="str">
        <f aca="false">SUBSTITUTE(A240,"MS","",1)</f>
        <v>53985</v>
      </c>
      <c r="I240" s="5" t="str">
        <f aca="false">VLOOKUP(F240,O:P,2,FALSE())</f>
        <v>Skis Alpin </v>
      </c>
      <c r="J240" s="5" t="str">
        <f aca="false">CONCATENATE(B240," ",C240)</f>
        <v>volkl team</v>
      </c>
      <c r="K240" s="5" t="str">
        <f aca="false">IF(D240&lt;80,VLOOKUP(D240,R:S,2,FALSE()),CONCATENATE(D240," cm"))</f>
        <v>110 cm</v>
      </c>
      <c r="L240" s="17" t="n">
        <f aca="false">E240</f>
        <v>49</v>
      </c>
    </row>
    <row r="241" customFormat="false" ht="15" hidden="false" customHeight="false" outlineLevel="0" collapsed="false">
      <c r="A241" s="12" t="s">
        <v>396</v>
      </c>
      <c r="B241" s="13" t="s">
        <v>397</v>
      </c>
      <c r="C241" s="14" t="s">
        <v>398</v>
      </c>
      <c r="D241" s="15" t="n">
        <v>112</v>
      </c>
      <c r="E241" s="16" t="n">
        <v>49</v>
      </c>
      <c r="F241" s="13" t="s">
        <v>42</v>
      </c>
      <c r="G241" s="15" t="n">
        <v>1</v>
      </c>
      <c r="H241" s="5" t="str">
        <f aca="false">SUBSTITUTE(A241,"MS","",1)</f>
        <v>53986</v>
      </c>
      <c r="I241" s="5" t="str">
        <f aca="false">VLOOKUP(F241,O:P,2,FALSE())</f>
        <v>Skis Alpin </v>
      </c>
      <c r="J241" s="5" t="str">
        <f aca="false">CONCATENATE(B241," ",C241)</f>
        <v>k2 indy</v>
      </c>
      <c r="K241" s="5" t="str">
        <f aca="false">IF(D241&lt;80,VLOOKUP(D241,R:S,2,FALSE()),CONCATENATE(D241," cm"))</f>
        <v>112 cm</v>
      </c>
      <c r="L241" s="17" t="n">
        <f aca="false">E241</f>
        <v>49</v>
      </c>
    </row>
    <row r="242" customFormat="false" ht="15" hidden="false" customHeight="false" outlineLevel="0" collapsed="false">
      <c r="A242" s="12" t="s">
        <v>399</v>
      </c>
      <c r="B242" s="13" t="s">
        <v>368</v>
      </c>
      <c r="C242" s="14" t="s">
        <v>41</v>
      </c>
      <c r="D242" s="15" t="n">
        <v>110</v>
      </c>
      <c r="E242" s="16" t="n">
        <v>55</v>
      </c>
      <c r="F242" s="13" t="s">
        <v>42</v>
      </c>
      <c r="G242" s="15" t="n">
        <v>1</v>
      </c>
      <c r="H242" s="5" t="str">
        <f aca="false">SUBSTITUTE(A242,"MS","",1)</f>
        <v>53987</v>
      </c>
      <c r="I242" s="5" t="str">
        <f aca="false">VLOOKUP(F242,O:P,2,FALSE())</f>
        <v>Skis Alpin </v>
      </c>
      <c r="J242" s="5" t="str">
        <f aca="false">CONCATENATE(B242," ",C242)</f>
        <v>rossignol hero</v>
      </c>
      <c r="K242" s="5" t="str">
        <f aca="false">IF(D242&lt;80,VLOOKUP(D242,R:S,2,FALSE()),CONCATENATE(D242," cm"))</f>
        <v>110 cm</v>
      </c>
      <c r="L242" s="17" t="n">
        <f aca="false">E242</f>
        <v>55</v>
      </c>
    </row>
    <row r="243" customFormat="false" ht="15" hidden="false" customHeight="false" outlineLevel="0" collapsed="false">
      <c r="A243" s="12" t="s">
        <v>400</v>
      </c>
      <c r="B243" s="13" t="s">
        <v>368</v>
      </c>
      <c r="C243" s="14" t="s">
        <v>41</v>
      </c>
      <c r="D243" s="15" t="n">
        <v>110</v>
      </c>
      <c r="E243" s="16" t="n">
        <v>55</v>
      </c>
      <c r="F243" s="13" t="s">
        <v>42</v>
      </c>
      <c r="G243" s="15" t="n">
        <v>1</v>
      </c>
      <c r="H243" s="5" t="str">
        <f aca="false">SUBSTITUTE(A243,"MS","",1)</f>
        <v>53988</v>
      </c>
      <c r="I243" s="5" t="str">
        <f aca="false">VLOOKUP(F243,O:P,2,FALSE())</f>
        <v>Skis Alpin </v>
      </c>
      <c r="J243" s="5" t="str">
        <f aca="false">CONCATENATE(B243," ",C243)</f>
        <v>rossignol hero</v>
      </c>
      <c r="K243" s="5" t="str">
        <f aca="false">IF(D243&lt;80,VLOOKUP(D243,R:S,2,FALSE()),CONCATENATE(D243," cm"))</f>
        <v>110 cm</v>
      </c>
      <c r="L243" s="17" t="n">
        <f aca="false">E243</f>
        <v>55</v>
      </c>
    </row>
    <row r="244" customFormat="false" ht="15" hidden="false" customHeight="false" outlineLevel="0" collapsed="false">
      <c r="A244" s="12" t="s">
        <v>401</v>
      </c>
      <c r="B244" s="13" t="s">
        <v>368</v>
      </c>
      <c r="C244" s="14" t="s">
        <v>41</v>
      </c>
      <c r="D244" s="15" t="n">
        <v>110</v>
      </c>
      <c r="E244" s="16" t="n">
        <v>55</v>
      </c>
      <c r="F244" s="13" t="s">
        <v>42</v>
      </c>
      <c r="G244" s="15" t="n">
        <v>1</v>
      </c>
      <c r="H244" s="5" t="str">
        <f aca="false">SUBSTITUTE(A244,"MS","",1)</f>
        <v>53989</v>
      </c>
      <c r="I244" s="5" t="str">
        <f aca="false">VLOOKUP(F244,O:P,2,FALSE())</f>
        <v>Skis Alpin </v>
      </c>
      <c r="J244" s="5" t="str">
        <f aca="false">CONCATENATE(B244," ",C244)</f>
        <v>rossignol hero</v>
      </c>
      <c r="K244" s="5" t="str">
        <f aca="false">IF(D244&lt;80,VLOOKUP(D244,R:S,2,FALSE()),CONCATENATE(D244," cm"))</f>
        <v>110 cm</v>
      </c>
      <c r="L244" s="17" t="n">
        <f aca="false">E244</f>
        <v>55</v>
      </c>
    </row>
    <row r="245" customFormat="false" ht="15" hidden="false" customHeight="false" outlineLevel="0" collapsed="false">
      <c r="A245" s="12" t="s">
        <v>402</v>
      </c>
      <c r="B245" s="13" t="s">
        <v>368</v>
      </c>
      <c r="C245" s="14" t="s">
        <v>403</v>
      </c>
      <c r="D245" s="15" t="n">
        <v>110</v>
      </c>
      <c r="E245" s="16" t="n">
        <v>55</v>
      </c>
      <c r="F245" s="13" t="s">
        <v>42</v>
      </c>
      <c r="G245" s="15" t="n">
        <v>1</v>
      </c>
      <c r="H245" s="5" t="str">
        <f aca="false">SUBSTITUTE(A245,"MS","",1)</f>
        <v>53990</v>
      </c>
      <c r="I245" s="5" t="str">
        <f aca="false">VLOOKUP(F245,O:P,2,FALSE())</f>
        <v>Skis Alpin </v>
      </c>
      <c r="J245" s="5" t="str">
        <f aca="false">CONCATENATE(B245," ",C245)</f>
        <v>rossignol fun girl</v>
      </c>
      <c r="K245" s="5" t="str">
        <f aca="false">IF(D245&lt;80,VLOOKUP(D245,R:S,2,FALSE()),CONCATENATE(D245," cm"))</f>
        <v>110 cm</v>
      </c>
      <c r="L245" s="17" t="n">
        <f aca="false">E245</f>
        <v>55</v>
      </c>
    </row>
    <row r="246" customFormat="false" ht="15" hidden="false" customHeight="false" outlineLevel="0" collapsed="false">
      <c r="A246" s="12" t="s">
        <v>404</v>
      </c>
      <c r="B246" s="13" t="s">
        <v>368</v>
      </c>
      <c r="C246" s="14" t="s">
        <v>403</v>
      </c>
      <c r="D246" s="15" t="n">
        <v>110</v>
      </c>
      <c r="E246" s="16" t="n">
        <v>49</v>
      </c>
      <c r="F246" s="13" t="s">
        <v>42</v>
      </c>
      <c r="G246" s="15" t="n">
        <v>1</v>
      </c>
      <c r="H246" s="5" t="str">
        <f aca="false">SUBSTITUTE(A246,"MS","",1)</f>
        <v>53991</v>
      </c>
      <c r="I246" s="5" t="str">
        <f aca="false">VLOOKUP(F246,O:P,2,FALSE())</f>
        <v>Skis Alpin </v>
      </c>
      <c r="J246" s="5" t="str">
        <f aca="false">CONCATENATE(B246," ",C246)</f>
        <v>rossignol fun girl</v>
      </c>
      <c r="K246" s="5" t="str">
        <f aca="false">IF(D246&lt;80,VLOOKUP(D246,R:S,2,FALSE()),CONCATENATE(D246," cm"))</f>
        <v>110 cm</v>
      </c>
      <c r="L246" s="17" t="n">
        <f aca="false">E246</f>
        <v>49</v>
      </c>
    </row>
    <row r="247" customFormat="false" ht="15" hidden="false" customHeight="false" outlineLevel="0" collapsed="false">
      <c r="A247" s="12" t="s">
        <v>405</v>
      </c>
      <c r="B247" s="13" t="s">
        <v>406</v>
      </c>
      <c r="C247" s="14" t="s">
        <v>407</v>
      </c>
      <c r="D247" s="15" t="n">
        <v>110</v>
      </c>
      <c r="E247" s="16" t="n">
        <v>49</v>
      </c>
      <c r="F247" s="13" t="s">
        <v>42</v>
      </c>
      <c r="G247" s="15" t="n">
        <v>1</v>
      </c>
      <c r="H247" s="5" t="str">
        <f aca="false">SUBSTITUTE(A247,"MS","",1)</f>
        <v>53992</v>
      </c>
      <c r="I247" s="5" t="str">
        <f aca="false">VLOOKUP(F247,O:P,2,FALSE())</f>
        <v>Skis Alpin </v>
      </c>
      <c r="J247" s="5" t="str">
        <f aca="false">CONCATENATE(B247," ",C247)</f>
        <v>weedze bee</v>
      </c>
      <c r="K247" s="5" t="str">
        <f aca="false">IF(D247&lt;80,VLOOKUP(D247,R:S,2,FALSE()),CONCATENATE(D247," cm"))</f>
        <v>110 cm</v>
      </c>
      <c r="L247" s="17" t="n">
        <f aca="false">E247</f>
        <v>49</v>
      </c>
    </row>
    <row r="248" customFormat="false" ht="15" hidden="false" customHeight="false" outlineLevel="0" collapsed="false">
      <c r="A248" s="12" t="s">
        <v>408</v>
      </c>
      <c r="B248" s="13" t="s">
        <v>191</v>
      </c>
      <c r="C248" s="14" t="s">
        <v>409</v>
      </c>
      <c r="D248" s="15" t="n">
        <v>110</v>
      </c>
      <c r="E248" s="16" t="n">
        <v>55</v>
      </c>
      <c r="F248" s="13" t="s">
        <v>42</v>
      </c>
      <c r="G248" s="15" t="n">
        <v>1</v>
      </c>
      <c r="H248" s="5" t="str">
        <f aca="false">SUBSTITUTE(A248,"MS","",1)</f>
        <v>53993</v>
      </c>
      <c r="I248" s="5" t="str">
        <f aca="false">VLOOKUP(F248,O:P,2,FALSE())</f>
        <v>Skis Alpin </v>
      </c>
      <c r="J248" s="5" t="str">
        <f aca="false">CONCATENATE(B248," ",C248)</f>
        <v>atomic xt</v>
      </c>
      <c r="K248" s="5" t="str">
        <f aca="false">IF(D248&lt;80,VLOOKUP(D248,R:S,2,FALSE()),CONCATENATE(D248," cm"))</f>
        <v>110 cm</v>
      </c>
      <c r="L248" s="17" t="n">
        <f aca="false">E248</f>
        <v>55</v>
      </c>
    </row>
    <row r="249" customFormat="false" ht="15" hidden="false" customHeight="false" outlineLevel="0" collapsed="false">
      <c r="A249" s="12" t="s">
        <v>410</v>
      </c>
      <c r="B249" s="13" t="s">
        <v>293</v>
      </c>
      <c r="C249" s="14" t="s">
        <v>294</v>
      </c>
      <c r="D249" s="15" t="n">
        <v>110</v>
      </c>
      <c r="E249" s="16" t="n">
        <v>55</v>
      </c>
      <c r="F249" s="13" t="s">
        <v>42</v>
      </c>
      <c r="G249" s="15" t="n">
        <v>1</v>
      </c>
      <c r="H249" s="5" t="str">
        <f aca="false">SUBSTITUTE(A249,"MS","",1)</f>
        <v>53994</v>
      </c>
      <c r="I249" s="5" t="str">
        <f aca="false">VLOOKUP(F249,O:P,2,FALSE())</f>
        <v>Skis Alpin </v>
      </c>
      <c r="J249" s="5" t="str">
        <f aca="false">CONCATENATE(B249," ",C249)</f>
        <v>fisher rc4</v>
      </c>
      <c r="K249" s="5" t="str">
        <f aca="false">IF(D249&lt;80,VLOOKUP(D249,R:S,2,FALSE()),CONCATENATE(D249," cm"))</f>
        <v>110 cm</v>
      </c>
      <c r="L249" s="17" t="n">
        <f aca="false">E249</f>
        <v>55</v>
      </c>
    </row>
    <row r="250" customFormat="false" ht="15" hidden="false" customHeight="false" outlineLevel="0" collapsed="false">
      <c r="A250" s="12" t="s">
        <v>411</v>
      </c>
      <c r="B250" s="13" t="s">
        <v>293</v>
      </c>
      <c r="C250" s="14" t="s">
        <v>412</v>
      </c>
      <c r="D250" s="15" t="n">
        <v>110</v>
      </c>
      <c r="E250" s="16" t="n">
        <v>49</v>
      </c>
      <c r="F250" s="13" t="s">
        <v>42</v>
      </c>
      <c r="G250" s="15" t="n">
        <v>1</v>
      </c>
      <c r="H250" s="5" t="str">
        <f aca="false">SUBSTITUTE(A250,"MS","",1)</f>
        <v>53995</v>
      </c>
      <c r="I250" s="5" t="str">
        <f aca="false">VLOOKUP(F250,O:P,2,FALSE())</f>
        <v>Skis Alpin </v>
      </c>
      <c r="J250" s="5" t="str">
        <f aca="false">CONCATENATE(B250," ",C250)</f>
        <v>fisher progressor</v>
      </c>
      <c r="K250" s="5" t="str">
        <f aca="false">IF(D250&lt;80,VLOOKUP(D250,R:S,2,FALSE()),CONCATENATE(D250," cm"))</f>
        <v>110 cm</v>
      </c>
      <c r="L250" s="17" t="n">
        <f aca="false">E250</f>
        <v>49</v>
      </c>
    </row>
    <row r="251" customFormat="false" ht="15" hidden="false" customHeight="false" outlineLevel="0" collapsed="false">
      <c r="A251" s="12" t="s">
        <v>413</v>
      </c>
      <c r="B251" s="13" t="s">
        <v>406</v>
      </c>
      <c r="C251" s="14" t="s">
        <v>414</v>
      </c>
      <c r="D251" s="15" t="n">
        <v>110</v>
      </c>
      <c r="E251" s="16" t="n">
        <v>49</v>
      </c>
      <c r="F251" s="13" t="s">
        <v>42</v>
      </c>
      <c r="G251" s="15" t="n">
        <v>1</v>
      </c>
      <c r="H251" s="5" t="str">
        <f aca="false">SUBSTITUTE(A251,"MS","",1)</f>
        <v>53996</v>
      </c>
      <c r="I251" s="5" t="str">
        <f aca="false">VLOOKUP(F251,O:P,2,FALSE())</f>
        <v>Skis Alpin </v>
      </c>
      <c r="J251" s="5" t="str">
        <f aca="false">CONCATENATE(B251," ",C251)</f>
        <v>weedze booster</v>
      </c>
      <c r="K251" s="5" t="str">
        <f aca="false">IF(D251&lt;80,VLOOKUP(D251,R:S,2,FALSE()),CONCATENATE(D251," cm"))</f>
        <v>110 cm</v>
      </c>
      <c r="L251" s="17" t="n">
        <f aca="false">E251</f>
        <v>49</v>
      </c>
    </row>
    <row r="252" customFormat="false" ht="15" hidden="false" customHeight="false" outlineLevel="0" collapsed="false">
      <c r="A252" s="12" t="s">
        <v>415</v>
      </c>
      <c r="B252" s="13" t="s">
        <v>416</v>
      </c>
      <c r="C252" s="14" t="s">
        <v>417</v>
      </c>
      <c r="D252" s="15" t="n">
        <v>110</v>
      </c>
      <c r="E252" s="16" t="n">
        <v>49</v>
      </c>
      <c r="F252" s="13" t="s">
        <v>42</v>
      </c>
      <c r="G252" s="15" t="n">
        <v>1</v>
      </c>
      <c r="H252" s="5" t="str">
        <f aca="false">SUBSTITUTE(A252,"MS","",1)</f>
        <v>53997</v>
      </c>
      <c r="I252" s="5" t="str">
        <f aca="false">VLOOKUP(F252,O:P,2,FALSE())</f>
        <v>Skis Alpin </v>
      </c>
      <c r="J252" s="5" t="str">
        <f aca="false">CONCATENATE(B252," ",C252)</f>
        <v>dynamic s40</v>
      </c>
      <c r="K252" s="5" t="str">
        <f aca="false">IF(D252&lt;80,VLOOKUP(D252,R:S,2,FALSE()),CONCATENATE(D252," cm"))</f>
        <v>110 cm</v>
      </c>
      <c r="L252" s="17" t="n">
        <f aca="false">E252</f>
        <v>49</v>
      </c>
    </row>
    <row r="253" customFormat="false" ht="15" hidden="false" customHeight="false" outlineLevel="0" collapsed="false">
      <c r="A253" s="12" t="s">
        <v>418</v>
      </c>
      <c r="B253" s="13" t="s">
        <v>368</v>
      </c>
      <c r="C253" s="14" t="s">
        <v>41</v>
      </c>
      <c r="D253" s="15" t="n">
        <v>100</v>
      </c>
      <c r="E253" s="16" t="n">
        <v>49</v>
      </c>
      <c r="F253" s="13" t="s">
        <v>42</v>
      </c>
      <c r="G253" s="15" t="n">
        <v>1</v>
      </c>
      <c r="H253" s="5" t="str">
        <f aca="false">SUBSTITUTE(A253,"MS","",1)</f>
        <v>53998</v>
      </c>
      <c r="I253" s="5" t="str">
        <f aca="false">VLOOKUP(F253,O:P,2,FALSE())</f>
        <v>Skis Alpin </v>
      </c>
      <c r="J253" s="5" t="str">
        <f aca="false">CONCATENATE(B253," ",C253)</f>
        <v>rossignol hero</v>
      </c>
      <c r="K253" s="5" t="str">
        <f aca="false">IF(D253&lt;80,VLOOKUP(D253,R:S,2,FALSE()),CONCATENATE(D253," cm"))</f>
        <v>100 cm</v>
      </c>
      <c r="L253" s="17" t="n">
        <f aca="false">E253</f>
        <v>49</v>
      </c>
    </row>
    <row r="254" customFormat="false" ht="15" hidden="false" customHeight="false" outlineLevel="0" collapsed="false">
      <c r="A254" s="12" t="s">
        <v>419</v>
      </c>
      <c r="B254" s="13" t="s">
        <v>368</v>
      </c>
      <c r="C254" s="14" t="s">
        <v>41</v>
      </c>
      <c r="D254" s="15" t="n">
        <v>100</v>
      </c>
      <c r="E254" s="16" t="n">
        <v>49</v>
      </c>
      <c r="F254" s="13" t="s">
        <v>42</v>
      </c>
      <c r="G254" s="15" t="n">
        <v>1</v>
      </c>
      <c r="H254" s="5" t="str">
        <f aca="false">SUBSTITUTE(A254,"MS","",1)</f>
        <v>53999</v>
      </c>
      <c r="I254" s="5" t="str">
        <f aca="false">VLOOKUP(F254,O:P,2,FALSE())</f>
        <v>Skis Alpin </v>
      </c>
      <c r="J254" s="5" t="str">
        <f aca="false">CONCATENATE(B254," ",C254)</f>
        <v>rossignol hero</v>
      </c>
      <c r="K254" s="5" t="str">
        <f aca="false">IF(D254&lt;80,VLOOKUP(D254,R:S,2,FALSE()),CONCATENATE(D254," cm"))</f>
        <v>100 cm</v>
      </c>
      <c r="L254" s="17" t="n">
        <f aca="false">E254</f>
        <v>49</v>
      </c>
    </row>
    <row r="255" customFormat="false" ht="15" hidden="false" customHeight="false" outlineLevel="0" collapsed="false">
      <c r="A255" s="12" t="s">
        <v>420</v>
      </c>
      <c r="B255" s="13" t="s">
        <v>191</v>
      </c>
      <c r="C255" s="14" t="s">
        <v>409</v>
      </c>
      <c r="D255" s="15" t="n">
        <v>100</v>
      </c>
      <c r="E255" s="16" t="n">
        <v>49</v>
      </c>
      <c r="F255" s="13" t="s">
        <v>42</v>
      </c>
      <c r="G255" s="15" t="n">
        <v>1</v>
      </c>
      <c r="H255" s="5" t="str">
        <f aca="false">SUBSTITUTE(A255,"MS","",1)</f>
        <v>54000</v>
      </c>
      <c r="I255" s="5" t="str">
        <f aca="false">VLOOKUP(F255,O:P,2,FALSE())</f>
        <v>Skis Alpin </v>
      </c>
      <c r="J255" s="5" t="str">
        <f aca="false">CONCATENATE(B255," ",C255)</f>
        <v>atomic xt</v>
      </c>
      <c r="K255" s="5" t="str">
        <f aca="false">IF(D255&lt;80,VLOOKUP(D255,R:S,2,FALSE()),CONCATENATE(D255," cm"))</f>
        <v>100 cm</v>
      </c>
      <c r="L255" s="17" t="n">
        <f aca="false">E255</f>
        <v>49</v>
      </c>
    </row>
    <row r="256" customFormat="false" ht="15" hidden="false" customHeight="false" outlineLevel="0" collapsed="false">
      <c r="A256" s="12" t="s">
        <v>421</v>
      </c>
      <c r="B256" s="13" t="s">
        <v>191</v>
      </c>
      <c r="C256" s="14" t="s">
        <v>409</v>
      </c>
      <c r="D256" s="15" t="n">
        <v>100</v>
      </c>
      <c r="E256" s="16" t="n">
        <v>49</v>
      </c>
      <c r="F256" s="13" t="s">
        <v>42</v>
      </c>
      <c r="G256" s="15" t="n">
        <v>1</v>
      </c>
      <c r="H256" s="5" t="str">
        <f aca="false">SUBSTITUTE(A256,"MS","",1)</f>
        <v>54001</v>
      </c>
      <c r="I256" s="5" t="str">
        <f aca="false">VLOOKUP(F256,O:P,2,FALSE())</f>
        <v>Skis Alpin </v>
      </c>
      <c r="J256" s="5" t="str">
        <f aca="false">CONCATENATE(B256," ",C256)</f>
        <v>atomic xt</v>
      </c>
      <c r="K256" s="5" t="str">
        <f aca="false">IF(D256&lt;80,VLOOKUP(D256,R:S,2,FALSE()),CONCATENATE(D256," cm"))</f>
        <v>100 cm</v>
      </c>
      <c r="L256" s="17" t="n">
        <f aca="false">E256</f>
        <v>49</v>
      </c>
    </row>
    <row r="257" customFormat="false" ht="15" hidden="false" customHeight="false" outlineLevel="0" collapsed="false">
      <c r="A257" s="12" t="s">
        <v>422</v>
      </c>
      <c r="B257" s="13" t="s">
        <v>406</v>
      </c>
      <c r="C257" s="14" t="s">
        <v>423</v>
      </c>
      <c r="D257" s="15" t="n">
        <v>100</v>
      </c>
      <c r="E257" s="16" t="n">
        <v>45</v>
      </c>
      <c r="F257" s="13" t="s">
        <v>42</v>
      </c>
      <c r="G257" s="15" t="n">
        <v>1</v>
      </c>
      <c r="H257" s="5" t="str">
        <f aca="false">SUBSTITUTE(A257,"MS","",1)</f>
        <v>54002</v>
      </c>
      <c r="I257" s="5" t="str">
        <f aca="false">VLOOKUP(F257,O:P,2,FALSE())</f>
        <v>Skis Alpin </v>
      </c>
      <c r="J257" s="5" t="str">
        <f aca="false">CONCATENATE(B257," ",C257)</f>
        <v>weedze one b</v>
      </c>
      <c r="K257" s="5" t="str">
        <f aca="false">IF(D257&lt;80,VLOOKUP(D257,R:S,2,FALSE()),CONCATENATE(D257," cm"))</f>
        <v>100 cm</v>
      </c>
      <c r="L257" s="17" t="n">
        <f aca="false">E257</f>
        <v>45</v>
      </c>
    </row>
    <row r="258" customFormat="false" ht="15" hidden="false" customHeight="false" outlineLevel="0" collapsed="false">
      <c r="A258" s="12" t="s">
        <v>424</v>
      </c>
      <c r="B258" s="13" t="s">
        <v>406</v>
      </c>
      <c r="C258" s="14" t="s">
        <v>423</v>
      </c>
      <c r="D258" s="15" t="n">
        <v>100</v>
      </c>
      <c r="E258" s="16" t="n">
        <v>45</v>
      </c>
      <c r="F258" s="13" t="s">
        <v>42</v>
      </c>
      <c r="G258" s="15" t="n">
        <v>1</v>
      </c>
      <c r="H258" s="5" t="str">
        <f aca="false">SUBSTITUTE(A258,"MS","",1)</f>
        <v>54003</v>
      </c>
      <c r="I258" s="5" t="str">
        <f aca="false">VLOOKUP(F258,O:P,2,FALSE())</f>
        <v>Skis Alpin </v>
      </c>
      <c r="J258" s="5" t="str">
        <f aca="false">CONCATENATE(B258," ",C258)</f>
        <v>weedze one b</v>
      </c>
      <c r="K258" s="5" t="str">
        <f aca="false">IF(D258&lt;80,VLOOKUP(D258,R:S,2,FALSE()),CONCATENATE(D258," cm"))</f>
        <v>100 cm</v>
      </c>
      <c r="L258" s="17" t="n">
        <f aca="false">E258</f>
        <v>45</v>
      </c>
    </row>
    <row r="259" customFormat="false" ht="15" hidden="false" customHeight="false" outlineLevel="0" collapsed="false">
      <c r="A259" s="12" t="s">
        <v>425</v>
      </c>
      <c r="B259" s="13" t="s">
        <v>406</v>
      </c>
      <c r="C259" s="14" t="s">
        <v>423</v>
      </c>
      <c r="D259" s="15" t="n">
        <v>100</v>
      </c>
      <c r="E259" s="16" t="n">
        <v>45</v>
      </c>
      <c r="F259" s="13" t="s">
        <v>42</v>
      </c>
      <c r="G259" s="15" t="n">
        <v>1</v>
      </c>
      <c r="H259" s="5" t="str">
        <f aca="false">SUBSTITUTE(A259,"MS","",1)</f>
        <v>54004</v>
      </c>
      <c r="I259" s="5" t="str">
        <f aca="false">VLOOKUP(F259,O:P,2,FALSE())</f>
        <v>Skis Alpin </v>
      </c>
      <c r="J259" s="5" t="str">
        <f aca="false">CONCATENATE(B259," ",C259)</f>
        <v>weedze one b</v>
      </c>
      <c r="K259" s="5" t="str">
        <f aca="false">IF(D259&lt;80,VLOOKUP(D259,R:S,2,FALSE()),CONCATENATE(D259," cm"))</f>
        <v>100 cm</v>
      </c>
      <c r="L259" s="17" t="n">
        <f aca="false">E259</f>
        <v>45</v>
      </c>
    </row>
    <row r="260" customFormat="false" ht="15" hidden="false" customHeight="false" outlineLevel="0" collapsed="false">
      <c r="A260" s="12" t="s">
        <v>426</v>
      </c>
      <c r="B260" s="13" t="s">
        <v>406</v>
      </c>
      <c r="C260" s="14" t="s">
        <v>423</v>
      </c>
      <c r="D260" s="15" t="n">
        <v>104</v>
      </c>
      <c r="E260" s="16" t="n">
        <v>45</v>
      </c>
      <c r="F260" s="13" t="s">
        <v>42</v>
      </c>
      <c r="G260" s="15" t="n">
        <v>1</v>
      </c>
      <c r="H260" s="5" t="str">
        <f aca="false">SUBSTITUTE(A260,"MS","",1)</f>
        <v>54005</v>
      </c>
      <c r="I260" s="5" t="str">
        <f aca="false">VLOOKUP(F260,O:P,2,FALSE())</f>
        <v>Skis Alpin </v>
      </c>
      <c r="J260" s="5" t="str">
        <f aca="false">CONCATENATE(B260," ",C260)</f>
        <v>weedze one b</v>
      </c>
      <c r="K260" s="5" t="str">
        <f aca="false">IF(D260&lt;80,VLOOKUP(D260,R:S,2,FALSE()),CONCATENATE(D260," cm"))</f>
        <v>104 cm</v>
      </c>
      <c r="L260" s="17" t="n">
        <f aca="false">E260</f>
        <v>45</v>
      </c>
    </row>
    <row r="261" customFormat="false" ht="15" hidden="false" customHeight="false" outlineLevel="0" collapsed="false">
      <c r="A261" s="12" t="s">
        <v>427</v>
      </c>
      <c r="B261" s="13" t="s">
        <v>406</v>
      </c>
      <c r="C261" s="14" t="s">
        <v>423</v>
      </c>
      <c r="D261" s="15" t="n">
        <v>104</v>
      </c>
      <c r="E261" s="16" t="n">
        <v>45</v>
      </c>
      <c r="F261" s="13" t="s">
        <v>42</v>
      </c>
      <c r="G261" s="15" t="n">
        <v>1</v>
      </c>
      <c r="H261" s="5" t="str">
        <f aca="false">SUBSTITUTE(A261,"MS","",1)</f>
        <v>54006</v>
      </c>
      <c r="I261" s="5" t="str">
        <f aca="false">VLOOKUP(F261,O:P,2,FALSE())</f>
        <v>Skis Alpin </v>
      </c>
      <c r="J261" s="5" t="str">
        <f aca="false">CONCATENATE(B261," ",C261)</f>
        <v>weedze one b</v>
      </c>
      <c r="K261" s="5" t="str">
        <f aca="false">IF(D261&lt;80,VLOOKUP(D261,R:S,2,FALSE()),CONCATENATE(D261," cm"))</f>
        <v>104 cm</v>
      </c>
      <c r="L261" s="17" t="n">
        <f aca="false">E261</f>
        <v>45</v>
      </c>
    </row>
    <row r="262" customFormat="false" ht="15" hidden="false" customHeight="false" outlineLevel="0" collapsed="false">
      <c r="A262" s="12" t="s">
        <v>428</v>
      </c>
      <c r="B262" s="13" t="s">
        <v>406</v>
      </c>
      <c r="C262" s="14" t="s">
        <v>423</v>
      </c>
      <c r="D262" s="15" t="n">
        <v>104</v>
      </c>
      <c r="E262" s="16" t="n">
        <v>45</v>
      </c>
      <c r="F262" s="13" t="s">
        <v>42</v>
      </c>
      <c r="G262" s="15" t="n">
        <v>1</v>
      </c>
      <c r="H262" s="5" t="str">
        <f aca="false">SUBSTITUTE(A262,"MS","",1)</f>
        <v>54007</v>
      </c>
      <c r="I262" s="5" t="str">
        <f aca="false">VLOOKUP(F262,O:P,2,FALSE())</f>
        <v>Skis Alpin </v>
      </c>
      <c r="J262" s="5" t="str">
        <f aca="false">CONCATENATE(B262," ",C262)</f>
        <v>weedze one b</v>
      </c>
      <c r="K262" s="5" t="str">
        <f aca="false">IF(D262&lt;80,VLOOKUP(D262,R:S,2,FALSE()),CONCATENATE(D262," cm"))</f>
        <v>104 cm</v>
      </c>
      <c r="L262" s="17" t="n">
        <f aca="false">E262</f>
        <v>45</v>
      </c>
    </row>
    <row r="263" customFormat="false" ht="15" hidden="false" customHeight="false" outlineLevel="0" collapsed="false">
      <c r="A263" s="12" t="s">
        <v>429</v>
      </c>
      <c r="B263" s="13" t="s">
        <v>406</v>
      </c>
      <c r="C263" s="14" t="s">
        <v>423</v>
      </c>
      <c r="D263" s="15" t="n">
        <v>100</v>
      </c>
      <c r="E263" s="16" t="n">
        <v>45</v>
      </c>
      <c r="F263" s="13" t="s">
        <v>42</v>
      </c>
      <c r="G263" s="15" t="n">
        <v>1</v>
      </c>
      <c r="H263" s="5" t="str">
        <f aca="false">SUBSTITUTE(A263,"MS","",1)</f>
        <v>54008</v>
      </c>
      <c r="I263" s="5" t="str">
        <f aca="false">VLOOKUP(F263,O:P,2,FALSE())</f>
        <v>Skis Alpin </v>
      </c>
      <c r="J263" s="5" t="str">
        <f aca="false">CONCATENATE(B263," ",C263)</f>
        <v>weedze one b</v>
      </c>
      <c r="K263" s="5" t="str">
        <f aca="false">IF(D263&lt;80,VLOOKUP(D263,R:S,2,FALSE()),CONCATENATE(D263," cm"))</f>
        <v>100 cm</v>
      </c>
      <c r="L263" s="17" t="n">
        <f aca="false">E263</f>
        <v>45</v>
      </c>
    </row>
    <row r="264" customFormat="false" ht="15" hidden="false" customHeight="false" outlineLevel="0" collapsed="false">
      <c r="A264" s="12" t="s">
        <v>430</v>
      </c>
      <c r="B264" s="13" t="s">
        <v>105</v>
      </c>
      <c r="C264" s="14" t="s">
        <v>431</v>
      </c>
      <c r="D264" s="15" t="n">
        <v>100</v>
      </c>
      <c r="E264" s="16" t="n">
        <v>45</v>
      </c>
      <c r="F264" s="13" t="s">
        <v>42</v>
      </c>
      <c r="G264" s="15" t="n">
        <v>1</v>
      </c>
      <c r="H264" s="5" t="str">
        <f aca="false">SUBSTITUTE(A264,"MS","",1)</f>
        <v>54009</v>
      </c>
      <c r="I264" s="5" t="str">
        <f aca="false">VLOOKUP(F264,O:P,2,FALSE())</f>
        <v>Skis Alpin </v>
      </c>
      <c r="J264" s="5" t="str">
        <f aca="false">CONCATENATE(B264," ",C264)</f>
        <v>dynastar cham</v>
      </c>
      <c r="K264" s="5" t="str">
        <f aca="false">IF(D264&lt;80,VLOOKUP(D264,R:S,2,FALSE()),CONCATENATE(D264," cm"))</f>
        <v>100 cm</v>
      </c>
      <c r="L264" s="17" t="n">
        <f aca="false">E264</f>
        <v>45</v>
      </c>
    </row>
    <row r="265" customFormat="false" ht="15" hidden="false" customHeight="false" outlineLevel="0" collapsed="false">
      <c r="A265" s="12" t="s">
        <v>432</v>
      </c>
      <c r="B265" s="13" t="s">
        <v>105</v>
      </c>
      <c r="C265" s="14" t="s">
        <v>393</v>
      </c>
      <c r="D265" s="15" t="n">
        <v>100</v>
      </c>
      <c r="E265" s="16" t="n">
        <v>49</v>
      </c>
      <c r="F265" s="13" t="s">
        <v>42</v>
      </c>
      <c r="G265" s="15" t="n">
        <v>1</v>
      </c>
      <c r="H265" s="5" t="str">
        <f aca="false">SUBSTITUTE(A265,"MS","",1)</f>
        <v>54010</v>
      </c>
      <c r="I265" s="5" t="str">
        <f aca="false">VLOOKUP(F265,O:P,2,FALSE())</f>
        <v>Skis Alpin </v>
      </c>
      <c r="J265" s="5" t="str">
        <f aca="false">CONCATENATE(B265," ",C265)</f>
        <v>dynastar team</v>
      </c>
      <c r="K265" s="5" t="str">
        <f aca="false">IF(D265&lt;80,VLOOKUP(D265,R:S,2,FALSE()),CONCATENATE(D265," cm"))</f>
        <v>100 cm</v>
      </c>
      <c r="L265" s="17" t="n">
        <f aca="false">E265</f>
        <v>49</v>
      </c>
    </row>
    <row r="266" customFormat="false" ht="15" hidden="false" customHeight="false" outlineLevel="0" collapsed="false">
      <c r="A266" s="12" t="s">
        <v>433</v>
      </c>
      <c r="B266" s="13" t="s">
        <v>105</v>
      </c>
      <c r="C266" s="14" t="s">
        <v>434</v>
      </c>
      <c r="D266" s="15" t="n">
        <v>100</v>
      </c>
      <c r="E266" s="16" t="n">
        <v>45</v>
      </c>
      <c r="F266" s="13" t="s">
        <v>42</v>
      </c>
      <c r="G266" s="15" t="n">
        <v>1</v>
      </c>
      <c r="H266" s="5" t="str">
        <f aca="false">SUBSTITUTE(A266,"MS","",1)</f>
        <v>54011</v>
      </c>
      <c r="I266" s="5" t="str">
        <f aca="false">VLOOKUP(F266,O:P,2,FALSE())</f>
        <v>Skis Alpin </v>
      </c>
      <c r="J266" s="5" t="str">
        <f aca="false">CONCATENATE(B266," ",C266)</f>
        <v>dynastar starlett</v>
      </c>
      <c r="K266" s="5" t="str">
        <f aca="false">IF(D266&lt;80,VLOOKUP(D266,R:S,2,FALSE()),CONCATENATE(D266," cm"))</f>
        <v>100 cm</v>
      </c>
      <c r="L266" s="17" t="n">
        <f aca="false">E266</f>
        <v>45</v>
      </c>
    </row>
    <row r="267" customFormat="false" ht="15" hidden="false" customHeight="false" outlineLevel="0" collapsed="false">
      <c r="A267" s="12" t="s">
        <v>435</v>
      </c>
      <c r="B267" s="13" t="s">
        <v>105</v>
      </c>
      <c r="C267" s="14" t="s">
        <v>431</v>
      </c>
      <c r="D267" s="15" t="n">
        <v>104</v>
      </c>
      <c r="E267" s="16" t="n">
        <v>55</v>
      </c>
      <c r="F267" s="13" t="s">
        <v>42</v>
      </c>
      <c r="G267" s="15" t="n">
        <v>1</v>
      </c>
      <c r="H267" s="5" t="str">
        <f aca="false">SUBSTITUTE(A267,"MS","",1)</f>
        <v>54012</v>
      </c>
      <c r="I267" s="5" t="str">
        <f aca="false">VLOOKUP(F267,O:P,2,FALSE())</f>
        <v>Skis Alpin </v>
      </c>
      <c r="J267" s="5" t="str">
        <f aca="false">CONCATENATE(B267," ",C267)</f>
        <v>dynastar cham</v>
      </c>
      <c r="K267" s="5" t="str">
        <f aca="false">IF(D267&lt;80,VLOOKUP(D267,R:S,2,FALSE()),CONCATENATE(D267," cm"))</f>
        <v>104 cm</v>
      </c>
      <c r="L267" s="17" t="n">
        <f aca="false">E267</f>
        <v>55</v>
      </c>
    </row>
    <row r="268" customFormat="false" ht="15" hidden="false" customHeight="false" outlineLevel="0" collapsed="false">
      <c r="A268" s="12" t="s">
        <v>436</v>
      </c>
      <c r="B268" s="13" t="s">
        <v>105</v>
      </c>
      <c r="C268" s="14" t="s">
        <v>437</v>
      </c>
      <c r="D268" s="15" t="n">
        <v>104</v>
      </c>
      <c r="E268" s="16" t="n">
        <v>55</v>
      </c>
      <c r="F268" s="13" t="s">
        <v>42</v>
      </c>
      <c r="G268" s="15" t="n">
        <v>1</v>
      </c>
      <c r="H268" s="5" t="str">
        <f aca="false">SUBSTITUTE(A268,"MS","",1)</f>
        <v>54013</v>
      </c>
      <c r="I268" s="5" t="str">
        <f aca="false">VLOOKUP(F268,O:P,2,FALSE())</f>
        <v>Skis Alpin </v>
      </c>
      <c r="J268" s="5" t="str">
        <f aca="false">CONCATENATE(B268," ",C268)</f>
        <v>dynastar salsa</v>
      </c>
      <c r="K268" s="5" t="str">
        <f aca="false">IF(D268&lt;80,VLOOKUP(D268,R:S,2,FALSE()),CONCATENATE(D268," cm"))</f>
        <v>104 cm</v>
      </c>
      <c r="L268" s="17" t="n">
        <f aca="false">E268</f>
        <v>55</v>
      </c>
    </row>
    <row r="269" customFormat="false" ht="15" hidden="false" customHeight="false" outlineLevel="0" collapsed="false">
      <c r="A269" s="12" t="s">
        <v>438</v>
      </c>
      <c r="B269" s="13" t="s">
        <v>439</v>
      </c>
      <c r="D269" s="15" t="n">
        <v>104</v>
      </c>
      <c r="E269" s="16" t="n">
        <v>55</v>
      </c>
      <c r="F269" s="13" t="s">
        <v>42</v>
      </c>
      <c r="G269" s="15" t="n">
        <v>1</v>
      </c>
      <c r="H269" s="5" t="str">
        <f aca="false">SUBSTITUTE(A269,"MS","",1)</f>
        <v>54014</v>
      </c>
      <c r="I269" s="5" t="str">
        <f aca="false">VLOOKUP(F269,O:P,2,FALSE())</f>
        <v>Skis Alpin </v>
      </c>
      <c r="J269" s="5" t="str">
        <f aca="false">CONCATENATE(B269," ",C269)</f>
        <v>starwars </v>
      </c>
      <c r="K269" s="5" t="str">
        <f aca="false">IF(D269&lt;80,VLOOKUP(D269,R:S,2,FALSE()),CONCATENATE(D269," cm"))</f>
        <v>104 cm</v>
      </c>
      <c r="L269" s="17" t="n">
        <f aca="false">E269</f>
        <v>55</v>
      </c>
    </row>
    <row r="270" customFormat="false" ht="15" hidden="false" customHeight="false" outlineLevel="0" collapsed="false">
      <c r="A270" s="12" t="s">
        <v>440</v>
      </c>
      <c r="B270" s="13" t="s">
        <v>439</v>
      </c>
      <c r="D270" s="15" t="n">
        <v>104</v>
      </c>
      <c r="E270" s="16" t="n">
        <v>55</v>
      </c>
      <c r="F270" s="13" t="s">
        <v>42</v>
      </c>
      <c r="G270" s="15" t="n">
        <v>1</v>
      </c>
      <c r="H270" s="5" t="str">
        <f aca="false">SUBSTITUTE(A270,"MS","",1)</f>
        <v>54015</v>
      </c>
      <c r="I270" s="5" t="str">
        <f aca="false">VLOOKUP(F270,O:P,2,FALSE())</f>
        <v>Skis Alpin </v>
      </c>
      <c r="J270" s="5" t="str">
        <f aca="false">CONCATENATE(B270," ",C270)</f>
        <v>starwars </v>
      </c>
      <c r="K270" s="5" t="str">
        <f aca="false">IF(D270&lt;80,VLOOKUP(D270,R:S,2,FALSE()),CONCATENATE(D270," cm"))</f>
        <v>104 cm</v>
      </c>
      <c r="L270" s="17" t="n">
        <f aca="false">E270</f>
        <v>55</v>
      </c>
    </row>
    <row r="271" customFormat="false" ht="15" hidden="false" customHeight="false" outlineLevel="0" collapsed="false">
      <c r="A271" s="12" t="s">
        <v>441</v>
      </c>
      <c r="B271" s="13" t="s">
        <v>442</v>
      </c>
      <c r="C271" s="14" t="s">
        <v>423</v>
      </c>
      <c r="D271" s="15" t="n">
        <v>100</v>
      </c>
      <c r="E271" s="16" t="n">
        <v>49</v>
      </c>
      <c r="F271" s="13" t="s">
        <v>42</v>
      </c>
      <c r="G271" s="15" t="n">
        <v>1</v>
      </c>
      <c r="H271" s="5" t="str">
        <f aca="false">SUBSTITUTE(A271,"MS","",1)</f>
        <v>54016</v>
      </c>
      <c r="I271" s="5" t="str">
        <f aca="false">VLOOKUP(F271,O:P,2,FALSE())</f>
        <v>Skis Alpin </v>
      </c>
      <c r="J271" s="5" t="str">
        <f aca="false">CONCATENATE(B271," ",C271)</f>
        <v>wedze one b</v>
      </c>
      <c r="K271" s="5" t="str">
        <f aca="false">IF(D271&lt;80,VLOOKUP(D271,R:S,2,FALSE()),CONCATENATE(D271," cm"))</f>
        <v>100 cm</v>
      </c>
      <c r="L271" s="17" t="n">
        <f aca="false">E271</f>
        <v>49</v>
      </c>
    </row>
    <row r="272" customFormat="false" ht="15" hidden="false" customHeight="false" outlineLevel="0" collapsed="false">
      <c r="A272" s="12" t="s">
        <v>443</v>
      </c>
      <c r="B272" s="13" t="s">
        <v>444</v>
      </c>
      <c r="C272" s="14" t="s">
        <v>445</v>
      </c>
      <c r="D272" s="15" t="n">
        <v>100</v>
      </c>
      <c r="E272" s="16" t="n">
        <v>45</v>
      </c>
      <c r="F272" s="13" t="s">
        <v>42</v>
      </c>
      <c r="G272" s="15" t="n">
        <v>1</v>
      </c>
      <c r="H272" s="5" t="str">
        <f aca="false">SUBSTITUTE(A272,"MS","",1)</f>
        <v>54017</v>
      </c>
      <c r="I272" s="5" t="str">
        <f aca="false">VLOOKUP(F272,O:P,2,FALSE())</f>
        <v>Skis Alpin </v>
      </c>
      <c r="J272" s="5" t="str">
        <f aca="false">CONCATENATE(B272," ",C272)</f>
        <v>salomon candy</v>
      </c>
      <c r="K272" s="5" t="str">
        <f aca="false">IF(D272&lt;80,VLOOKUP(D272,R:S,2,FALSE()),CONCATENATE(D272," cm"))</f>
        <v>100 cm</v>
      </c>
      <c r="L272" s="17" t="n">
        <f aca="false">E272</f>
        <v>45</v>
      </c>
    </row>
    <row r="273" customFormat="false" ht="15" hidden="false" customHeight="false" outlineLevel="0" collapsed="false">
      <c r="A273" s="12" t="s">
        <v>446</v>
      </c>
      <c r="B273" s="13" t="s">
        <v>73</v>
      </c>
      <c r="C273" s="14" t="s">
        <v>359</v>
      </c>
      <c r="D273" s="15" t="n">
        <v>90</v>
      </c>
      <c r="E273" s="16" t="n">
        <v>45</v>
      </c>
      <c r="F273" s="13" t="s">
        <v>42</v>
      </c>
      <c r="G273" s="15" t="n">
        <v>1</v>
      </c>
      <c r="H273" s="5" t="str">
        <f aca="false">SUBSTITUTE(A273,"MS","",1)</f>
        <v>54018</v>
      </c>
      <c r="I273" s="5" t="str">
        <f aca="false">VLOOKUP(F273,O:P,2,FALSE())</f>
        <v>Skis Alpin </v>
      </c>
      <c r="J273" s="5" t="str">
        <f aca="false">CONCATENATE(B273," ",C273)</f>
        <v>volkl jr</v>
      </c>
      <c r="K273" s="5" t="str">
        <f aca="false">IF(D273&lt;80,VLOOKUP(D273,R:S,2,FALSE()),CONCATENATE(D273," cm"))</f>
        <v>90 cm</v>
      </c>
      <c r="L273" s="17" t="n">
        <f aca="false">E273</f>
        <v>45</v>
      </c>
    </row>
    <row r="274" customFormat="false" ht="15" hidden="false" customHeight="false" outlineLevel="0" collapsed="false">
      <c r="A274" s="12" t="s">
        <v>447</v>
      </c>
      <c r="B274" s="13" t="s">
        <v>73</v>
      </c>
      <c r="C274" s="14" t="s">
        <v>359</v>
      </c>
      <c r="D274" s="15" t="n">
        <v>90</v>
      </c>
      <c r="E274" s="16" t="n">
        <v>45</v>
      </c>
      <c r="F274" s="13" t="s">
        <v>42</v>
      </c>
      <c r="G274" s="15" t="n">
        <v>1</v>
      </c>
      <c r="H274" s="5" t="str">
        <f aca="false">SUBSTITUTE(A274,"MS","",1)</f>
        <v>54019</v>
      </c>
      <c r="I274" s="5" t="str">
        <f aca="false">VLOOKUP(F274,O:P,2,FALSE())</f>
        <v>Skis Alpin </v>
      </c>
      <c r="J274" s="5" t="str">
        <f aca="false">CONCATENATE(B274," ",C274)</f>
        <v>volkl jr</v>
      </c>
      <c r="K274" s="5" t="str">
        <f aca="false">IF(D274&lt;80,VLOOKUP(D274,R:S,2,FALSE()),CONCATENATE(D274," cm"))</f>
        <v>90 cm</v>
      </c>
      <c r="L274" s="17" t="n">
        <f aca="false">E274</f>
        <v>45</v>
      </c>
    </row>
    <row r="275" customFormat="false" ht="15" hidden="false" customHeight="false" outlineLevel="0" collapsed="false">
      <c r="A275" s="12" t="s">
        <v>448</v>
      </c>
      <c r="B275" s="13" t="s">
        <v>444</v>
      </c>
      <c r="C275" s="14" t="s">
        <v>449</v>
      </c>
      <c r="D275" s="15" t="n">
        <v>90</v>
      </c>
      <c r="E275" s="16" t="n">
        <v>45</v>
      </c>
      <c r="F275" s="13" t="s">
        <v>42</v>
      </c>
      <c r="G275" s="15" t="n">
        <v>1</v>
      </c>
      <c r="H275" s="5" t="str">
        <f aca="false">SUBSTITUTE(A275,"MS","",1)</f>
        <v>54020</v>
      </c>
      <c r="I275" s="5" t="str">
        <f aca="false">VLOOKUP(F275,O:P,2,FALSE())</f>
        <v>Skis Alpin </v>
      </c>
      <c r="J275" s="5" t="str">
        <f aca="false">CONCATENATE(B275," ",C275)</f>
        <v>salomon rs</v>
      </c>
      <c r="K275" s="5" t="str">
        <f aca="false">IF(D275&lt;80,VLOOKUP(D275,R:S,2,FALSE()),CONCATENATE(D275," cm"))</f>
        <v>90 cm</v>
      </c>
      <c r="L275" s="17" t="n">
        <f aca="false">E275</f>
        <v>45</v>
      </c>
    </row>
    <row r="276" customFormat="false" ht="15" hidden="false" customHeight="false" outlineLevel="0" collapsed="false">
      <c r="A276" s="12" t="s">
        <v>450</v>
      </c>
      <c r="B276" s="13" t="s">
        <v>442</v>
      </c>
      <c r="C276" s="14" t="s">
        <v>451</v>
      </c>
      <c r="D276" s="15" t="n">
        <v>90</v>
      </c>
      <c r="E276" s="16" t="n">
        <v>45</v>
      </c>
      <c r="F276" s="13" t="s">
        <v>42</v>
      </c>
      <c r="G276" s="15" t="n">
        <v>1</v>
      </c>
      <c r="H276" s="5" t="str">
        <f aca="false">SUBSTITUTE(A276,"MS","",1)</f>
        <v>54021</v>
      </c>
      <c r="I276" s="5" t="str">
        <f aca="false">VLOOKUP(F276,O:P,2,FALSE())</f>
        <v>Skis Alpin </v>
      </c>
      <c r="J276" s="5" t="str">
        <f aca="false">CONCATENATE(B276," ",C276)</f>
        <v>wedze one</v>
      </c>
      <c r="K276" s="5" t="str">
        <f aca="false">IF(D276&lt;80,VLOOKUP(D276,R:S,2,FALSE()),CONCATENATE(D276," cm"))</f>
        <v>90 cm</v>
      </c>
      <c r="L276" s="17" t="n">
        <f aca="false">E276</f>
        <v>45</v>
      </c>
    </row>
    <row r="277" customFormat="false" ht="15" hidden="false" customHeight="false" outlineLevel="0" collapsed="false">
      <c r="A277" s="12" t="s">
        <v>452</v>
      </c>
      <c r="B277" s="13" t="s">
        <v>442</v>
      </c>
      <c r="C277" s="14" t="s">
        <v>451</v>
      </c>
      <c r="D277" s="15" t="n">
        <v>90</v>
      </c>
      <c r="E277" s="16" t="n">
        <v>45</v>
      </c>
      <c r="F277" s="13" t="s">
        <v>42</v>
      </c>
      <c r="G277" s="15" t="n">
        <v>1</v>
      </c>
      <c r="H277" s="5" t="str">
        <f aca="false">SUBSTITUTE(A277,"MS","",1)</f>
        <v>54022</v>
      </c>
      <c r="I277" s="5" t="str">
        <f aca="false">VLOOKUP(F277,O:P,2,FALSE())</f>
        <v>Skis Alpin </v>
      </c>
      <c r="J277" s="5" t="str">
        <f aca="false">CONCATENATE(B277," ",C277)</f>
        <v>wedze one</v>
      </c>
      <c r="K277" s="5" t="str">
        <f aca="false">IF(D277&lt;80,VLOOKUP(D277,R:S,2,FALSE()),CONCATENATE(D277," cm"))</f>
        <v>90 cm</v>
      </c>
      <c r="L277" s="17" t="n">
        <f aca="false">E277</f>
        <v>45</v>
      </c>
    </row>
    <row r="278" customFormat="false" ht="15" hidden="false" customHeight="false" outlineLevel="0" collapsed="false">
      <c r="A278" s="12" t="s">
        <v>453</v>
      </c>
      <c r="B278" s="13" t="s">
        <v>111</v>
      </c>
      <c r="C278" s="14" t="s">
        <v>454</v>
      </c>
      <c r="D278" s="15" t="n">
        <v>90</v>
      </c>
      <c r="E278" s="16" t="n">
        <v>39</v>
      </c>
      <c r="F278" s="13" t="s">
        <v>42</v>
      </c>
      <c r="G278" s="15" t="n">
        <v>1</v>
      </c>
      <c r="H278" s="5" t="str">
        <f aca="false">SUBSTITUTE(A278,"MS","",1)</f>
        <v>54023</v>
      </c>
      <c r="I278" s="5" t="str">
        <f aca="false">VLOOKUP(F278,O:P,2,FALSE())</f>
        <v>Skis Alpin </v>
      </c>
      <c r="J278" s="5" t="str">
        <f aca="false">CONCATENATE(B278," ",C278)</f>
        <v>elan jade</v>
      </c>
      <c r="K278" s="5" t="str">
        <f aca="false">IF(D278&lt;80,VLOOKUP(D278,R:S,2,FALSE()),CONCATENATE(D278," cm"))</f>
        <v>90 cm</v>
      </c>
      <c r="L278" s="17" t="n">
        <f aca="false">E278</f>
        <v>39</v>
      </c>
    </row>
    <row r="279" customFormat="false" ht="15" hidden="false" customHeight="false" outlineLevel="0" collapsed="false">
      <c r="A279" s="12" t="s">
        <v>455</v>
      </c>
      <c r="B279" s="13" t="s">
        <v>368</v>
      </c>
      <c r="C279" s="14" t="s">
        <v>359</v>
      </c>
      <c r="D279" s="15" t="n">
        <v>93</v>
      </c>
      <c r="E279" s="16" t="n">
        <v>45</v>
      </c>
      <c r="F279" s="13" t="s">
        <v>42</v>
      </c>
      <c r="G279" s="15" t="n">
        <v>1</v>
      </c>
      <c r="H279" s="5" t="str">
        <f aca="false">SUBSTITUTE(A279,"MS","",1)</f>
        <v>54024</v>
      </c>
      <c r="I279" s="5" t="str">
        <f aca="false">VLOOKUP(F279,O:P,2,FALSE())</f>
        <v>Skis Alpin </v>
      </c>
      <c r="J279" s="5" t="str">
        <f aca="false">CONCATENATE(B279," ",C279)</f>
        <v>rossignol jr</v>
      </c>
      <c r="K279" s="5" t="str">
        <f aca="false">IF(D279&lt;80,VLOOKUP(D279,R:S,2,FALSE()),CONCATENATE(D279," cm"))</f>
        <v>93 cm</v>
      </c>
      <c r="L279" s="17" t="n">
        <f aca="false">E279</f>
        <v>45</v>
      </c>
    </row>
    <row r="280" customFormat="false" ht="15" hidden="false" customHeight="false" outlineLevel="0" collapsed="false">
      <c r="A280" s="12" t="s">
        <v>456</v>
      </c>
      <c r="B280" s="13" t="s">
        <v>368</v>
      </c>
      <c r="C280" s="14" t="s">
        <v>457</v>
      </c>
      <c r="D280" s="15" t="n">
        <v>93</v>
      </c>
      <c r="E280" s="16" t="n">
        <v>45</v>
      </c>
      <c r="F280" s="13" t="s">
        <v>42</v>
      </c>
      <c r="G280" s="15" t="n">
        <v>1</v>
      </c>
      <c r="H280" s="5" t="str">
        <f aca="false">SUBSTITUTE(A280,"MS","",1)</f>
        <v>54025</v>
      </c>
      <c r="I280" s="5" t="str">
        <f aca="false">VLOOKUP(F280,O:P,2,FALSE())</f>
        <v>Skis Alpin </v>
      </c>
      <c r="J280" s="5" t="str">
        <f aca="false">CONCATENATE(B280," ",C280)</f>
        <v>rossignol kidi</v>
      </c>
      <c r="K280" s="5" t="str">
        <f aca="false">IF(D280&lt;80,VLOOKUP(D280,R:S,2,FALSE()),CONCATENATE(D280," cm"))</f>
        <v>93 cm</v>
      </c>
      <c r="L280" s="17" t="n">
        <f aca="false">E280</f>
        <v>45</v>
      </c>
    </row>
    <row r="281" customFormat="false" ht="15" hidden="false" customHeight="false" outlineLevel="0" collapsed="false">
      <c r="A281" s="12" t="s">
        <v>458</v>
      </c>
      <c r="B281" s="13" t="s">
        <v>368</v>
      </c>
      <c r="C281" s="14" t="s">
        <v>457</v>
      </c>
      <c r="D281" s="15" t="n">
        <v>93</v>
      </c>
      <c r="E281" s="16" t="n">
        <v>45</v>
      </c>
      <c r="F281" s="13" t="s">
        <v>42</v>
      </c>
      <c r="G281" s="15" t="n">
        <v>1</v>
      </c>
      <c r="H281" s="5" t="str">
        <f aca="false">SUBSTITUTE(A281,"MS","",1)</f>
        <v>54026</v>
      </c>
      <c r="I281" s="5" t="str">
        <f aca="false">VLOOKUP(F281,O:P,2,FALSE())</f>
        <v>Skis Alpin </v>
      </c>
      <c r="J281" s="5" t="str">
        <f aca="false">CONCATENATE(B281," ",C281)</f>
        <v>rossignol kidi</v>
      </c>
      <c r="K281" s="5" t="str">
        <f aca="false">IF(D281&lt;80,VLOOKUP(D281,R:S,2,FALSE()),CONCATENATE(D281," cm"))</f>
        <v>93 cm</v>
      </c>
      <c r="L281" s="17" t="n">
        <f aca="false">E281</f>
        <v>45</v>
      </c>
    </row>
    <row r="282" customFormat="false" ht="15" hidden="false" customHeight="false" outlineLevel="0" collapsed="false">
      <c r="A282" s="12" t="s">
        <v>459</v>
      </c>
      <c r="B282" s="13" t="s">
        <v>439</v>
      </c>
      <c r="D282" s="15" t="n">
        <v>93</v>
      </c>
      <c r="E282" s="16" t="n">
        <v>45</v>
      </c>
      <c r="F282" s="13" t="s">
        <v>42</v>
      </c>
      <c r="G282" s="15" t="n">
        <v>1</v>
      </c>
      <c r="H282" s="5" t="str">
        <f aca="false">SUBSTITUTE(A282,"MS","",1)</f>
        <v>54027</v>
      </c>
      <c r="I282" s="5" t="str">
        <f aca="false">VLOOKUP(F282,O:P,2,FALSE())</f>
        <v>Skis Alpin </v>
      </c>
      <c r="J282" s="5" t="str">
        <f aca="false">CONCATENATE(B282," ",C282)</f>
        <v>starwars </v>
      </c>
      <c r="K282" s="5" t="str">
        <f aca="false">IF(D282&lt;80,VLOOKUP(D282,R:S,2,FALSE()),CONCATENATE(D282," cm"))</f>
        <v>93 cm</v>
      </c>
      <c r="L282" s="17" t="n">
        <f aca="false">E282</f>
        <v>45</v>
      </c>
    </row>
    <row r="283" customFormat="false" ht="15" hidden="false" customHeight="false" outlineLevel="0" collapsed="false">
      <c r="A283" s="12" t="s">
        <v>460</v>
      </c>
      <c r="B283" s="13" t="s">
        <v>368</v>
      </c>
      <c r="C283" s="14" t="s">
        <v>457</v>
      </c>
      <c r="D283" s="15" t="n">
        <v>80</v>
      </c>
      <c r="E283" s="16" t="n">
        <v>45</v>
      </c>
      <c r="F283" s="13" t="s">
        <v>42</v>
      </c>
      <c r="G283" s="15" t="n">
        <v>1</v>
      </c>
      <c r="H283" s="5" t="str">
        <f aca="false">SUBSTITUTE(A283,"MS","",1)</f>
        <v>54028</v>
      </c>
      <c r="I283" s="5" t="str">
        <f aca="false">VLOOKUP(F283,O:P,2,FALSE())</f>
        <v>Skis Alpin </v>
      </c>
      <c r="J283" s="5" t="str">
        <f aca="false">CONCATENATE(B283," ",C283)</f>
        <v>rossignol kidi</v>
      </c>
      <c r="K283" s="5" t="str">
        <f aca="false">IF(D283&lt;80,VLOOKUP(D283,R:S,2,FALSE()),CONCATENATE(D283," cm"))</f>
        <v>80 cm</v>
      </c>
      <c r="L283" s="17" t="n">
        <f aca="false">E283</f>
        <v>45</v>
      </c>
    </row>
    <row r="284" customFormat="false" ht="15" hidden="false" customHeight="false" outlineLevel="0" collapsed="false">
      <c r="A284" s="12" t="s">
        <v>461</v>
      </c>
      <c r="B284" s="13" t="s">
        <v>368</v>
      </c>
      <c r="C284" s="14" t="s">
        <v>457</v>
      </c>
      <c r="D284" s="15" t="n">
        <v>80</v>
      </c>
      <c r="E284" s="16" t="n">
        <v>45</v>
      </c>
      <c r="F284" s="13" t="s">
        <v>42</v>
      </c>
      <c r="G284" s="15" t="n">
        <v>1</v>
      </c>
      <c r="H284" s="5" t="str">
        <f aca="false">SUBSTITUTE(A284,"MS","",1)</f>
        <v>54029</v>
      </c>
      <c r="I284" s="5" t="str">
        <f aca="false">VLOOKUP(F284,O:P,2,FALSE())</f>
        <v>Skis Alpin </v>
      </c>
      <c r="J284" s="5" t="str">
        <f aca="false">CONCATENATE(B284," ",C284)</f>
        <v>rossignol kidi</v>
      </c>
      <c r="K284" s="5" t="str">
        <f aca="false">IF(D284&lt;80,VLOOKUP(D284,R:S,2,FALSE()),CONCATENATE(D284," cm"))</f>
        <v>80 cm</v>
      </c>
      <c r="L284" s="17" t="n">
        <f aca="false">E284</f>
        <v>45</v>
      </c>
    </row>
    <row r="285" customFormat="false" ht="15" hidden="false" customHeight="false" outlineLevel="0" collapsed="false">
      <c r="A285" s="12" t="s">
        <v>462</v>
      </c>
      <c r="B285" s="13" t="s">
        <v>368</v>
      </c>
      <c r="C285" s="14" t="s">
        <v>359</v>
      </c>
      <c r="D285" s="15" t="n">
        <v>80</v>
      </c>
      <c r="E285" s="16" t="n">
        <v>45</v>
      </c>
      <c r="F285" s="13" t="s">
        <v>42</v>
      </c>
      <c r="G285" s="15" t="n">
        <v>1</v>
      </c>
      <c r="H285" s="5" t="str">
        <f aca="false">SUBSTITUTE(A285,"MS","",1)</f>
        <v>54030</v>
      </c>
      <c r="I285" s="5" t="str">
        <f aca="false">VLOOKUP(F285,O:P,2,FALSE())</f>
        <v>Skis Alpin </v>
      </c>
      <c r="J285" s="5" t="str">
        <f aca="false">CONCATENATE(B285," ",C285)</f>
        <v>rossignol jr</v>
      </c>
      <c r="K285" s="5" t="str">
        <f aca="false">IF(D285&lt;80,VLOOKUP(D285,R:S,2,FALSE()),CONCATENATE(D285," cm"))</f>
        <v>80 cm</v>
      </c>
      <c r="L285" s="17" t="n">
        <f aca="false">E285</f>
        <v>45</v>
      </c>
    </row>
    <row r="286" customFormat="false" ht="15" hidden="false" customHeight="false" outlineLevel="0" collapsed="false">
      <c r="A286" s="12" t="s">
        <v>463</v>
      </c>
      <c r="B286" s="13" t="s">
        <v>442</v>
      </c>
      <c r="C286" s="14" t="s">
        <v>451</v>
      </c>
      <c r="D286" s="15" t="n">
        <v>80</v>
      </c>
      <c r="E286" s="16" t="n">
        <v>45</v>
      </c>
      <c r="F286" s="13" t="s">
        <v>42</v>
      </c>
      <c r="G286" s="15" t="n">
        <v>1</v>
      </c>
      <c r="H286" s="5" t="str">
        <f aca="false">SUBSTITUTE(A286,"MS","",1)</f>
        <v>54031</v>
      </c>
      <c r="I286" s="5" t="str">
        <f aca="false">VLOOKUP(F286,O:P,2,FALSE())</f>
        <v>Skis Alpin </v>
      </c>
      <c r="J286" s="5" t="str">
        <f aca="false">CONCATENATE(B286," ",C286)</f>
        <v>wedze one</v>
      </c>
      <c r="K286" s="5" t="str">
        <f aca="false">IF(D286&lt;80,VLOOKUP(D286,R:S,2,FALSE()),CONCATENATE(D286," cm"))</f>
        <v>80 cm</v>
      </c>
      <c r="L286" s="17" t="n">
        <f aca="false">E286</f>
        <v>45</v>
      </c>
    </row>
    <row r="287" customFormat="false" ht="15" hidden="false" customHeight="false" outlineLevel="0" collapsed="false">
      <c r="A287" s="12" t="s">
        <v>464</v>
      </c>
      <c r="B287" s="13" t="s">
        <v>442</v>
      </c>
      <c r="C287" s="14" t="s">
        <v>451</v>
      </c>
      <c r="D287" s="15" t="n">
        <v>80</v>
      </c>
      <c r="E287" s="16" t="n">
        <v>45</v>
      </c>
      <c r="F287" s="13" t="s">
        <v>42</v>
      </c>
      <c r="G287" s="15" t="n">
        <v>1</v>
      </c>
      <c r="H287" s="5" t="str">
        <f aca="false">SUBSTITUTE(A287,"MS","",1)</f>
        <v>54032</v>
      </c>
      <c r="I287" s="5" t="str">
        <f aca="false">VLOOKUP(F287,O:P,2,FALSE())</f>
        <v>Skis Alpin </v>
      </c>
      <c r="J287" s="5" t="str">
        <f aca="false">CONCATENATE(B287," ",C287)</f>
        <v>wedze one</v>
      </c>
      <c r="K287" s="5" t="str">
        <f aca="false">IF(D287&lt;80,VLOOKUP(D287,R:S,2,FALSE()),CONCATENATE(D287," cm"))</f>
        <v>80 cm</v>
      </c>
      <c r="L287" s="17" t="n">
        <f aca="false">E287</f>
        <v>45</v>
      </c>
    </row>
    <row r="288" customFormat="false" ht="15" hidden="false" customHeight="false" outlineLevel="0" collapsed="false">
      <c r="A288" s="12" t="s">
        <v>465</v>
      </c>
      <c r="B288" s="13" t="s">
        <v>442</v>
      </c>
      <c r="C288" s="14" t="s">
        <v>451</v>
      </c>
      <c r="D288" s="15" t="n">
        <v>80</v>
      </c>
      <c r="E288" s="16" t="n">
        <v>45</v>
      </c>
      <c r="F288" s="13" t="s">
        <v>42</v>
      </c>
      <c r="G288" s="15" t="n">
        <v>1</v>
      </c>
      <c r="H288" s="5" t="str">
        <f aca="false">SUBSTITUTE(A288,"MS","",1)</f>
        <v>54033</v>
      </c>
      <c r="I288" s="5" t="str">
        <f aca="false">VLOOKUP(F288,O:P,2,FALSE())</f>
        <v>Skis Alpin </v>
      </c>
      <c r="J288" s="5" t="str">
        <f aca="false">CONCATENATE(B288," ",C288)</f>
        <v>wedze one</v>
      </c>
      <c r="K288" s="5" t="str">
        <f aca="false">IF(D288&lt;80,VLOOKUP(D288,R:S,2,FALSE()),CONCATENATE(D288," cm"))</f>
        <v>80 cm</v>
      </c>
      <c r="L288" s="17" t="n">
        <f aca="false">E288</f>
        <v>45</v>
      </c>
    </row>
    <row r="289" customFormat="false" ht="15" hidden="false" customHeight="false" outlineLevel="0" collapsed="false">
      <c r="A289" s="12" t="s">
        <v>466</v>
      </c>
      <c r="B289" s="13" t="s">
        <v>467</v>
      </c>
      <c r="C289" s="14" t="s">
        <v>451</v>
      </c>
      <c r="D289" s="15" t="n">
        <v>178</v>
      </c>
      <c r="E289" s="16" t="n">
        <v>149</v>
      </c>
      <c r="F289" s="13" t="s">
        <v>30</v>
      </c>
      <c r="G289" s="15" t="n">
        <v>1</v>
      </c>
      <c r="H289" s="5" t="str">
        <f aca="false">SUBSTITUTE(A289,"MS","",1)</f>
        <v>54034</v>
      </c>
      <c r="I289" s="5" t="str">
        <f aca="false">VLOOKUP(F289,O:P,2,FALSE())</f>
        <v>Skis Alpin </v>
      </c>
      <c r="J289" s="5" t="str">
        <f aca="false">CONCATENATE(B289," ",C289)</f>
        <v>xo one</v>
      </c>
      <c r="K289" s="5" t="str">
        <f aca="false">IF(D289&lt;80,VLOOKUP(D289,R:S,2,FALSE()),CONCATENATE(D289," cm"))</f>
        <v>178 cm</v>
      </c>
      <c r="L289" s="17" t="n">
        <f aca="false">E289</f>
        <v>149</v>
      </c>
    </row>
    <row r="290" customFormat="false" ht="15" hidden="false" customHeight="false" outlineLevel="0" collapsed="false">
      <c r="A290" s="12" t="s">
        <v>468</v>
      </c>
      <c r="B290" s="13" t="s">
        <v>358</v>
      </c>
      <c r="C290" s="14" t="s">
        <v>150</v>
      </c>
      <c r="D290" s="15" t="n">
        <v>168</v>
      </c>
      <c r="E290" s="16" t="n">
        <v>115</v>
      </c>
      <c r="F290" s="13" t="s">
        <v>30</v>
      </c>
      <c r="G290" s="15" t="n">
        <v>1</v>
      </c>
      <c r="H290" s="5" t="str">
        <f aca="false">SUBSTITUTE(A290,"MS","",1)</f>
        <v>54035</v>
      </c>
      <c r="I290" s="5" t="str">
        <f aca="false">VLOOKUP(F290,O:P,2,FALSE())</f>
        <v>Skis Alpin </v>
      </c>
      <c r="J290" s="5" t="str">
        <f aca="false">CONCATENATE(B290," ",C290)</f>
        <v>nordica spitfire</v>
      </c>
      <c r="K290" s="5" t="str">
        <f aca="false">IF(D290&lt;80,VLOOKUP(D290,R:S,2,FALSE()),CONCATENATE(D290," cm"))</f>
        <v>168 cm</v>
      </c>
      <c r="L290" s="17" t="n">
        <f aca="false">E290</f>
        <v>115</v>
      </c>
    </row>
    <row r="291" customFormat="false" ht="15" hidden="false" customHeight="false" outlineLevel="0" collapsed="false">
      <c r="A291" s="12" t="s">
        <v>469</v>
      </c>
      <c r="B291" s="13" t="s">
        <v>105</v>
      </c>
      <c r="C291" s="14" t="s">
        <v>470</v>
      </c>
      <c r="D291" s="15" t="n">
        <v>170</v>
      </c>
      <c r="E291" s="16" t="n">
        <v>125</v>
      </c>
      <c r="F291" s="13" t="s">
        <v>30</v>
      </c>
      <c r="G291" s="15" t="n">
        <v>1</v>
      </c>
      <c r="H291" s="5" t="str">
        <f aca="false">SUBSTITUTE(A291,"MS","",1)</f>
        <v>54036</v>
      </c>
      <c r="I291" s="5" t="str">
        <f aca="false">VLOOKUP(F291,O:P,2,FALSE())</f>
        <v>Skis Alpin </v>
      </c>
      <c r="J291" s="5" t="str">
        <f aca="false">CONCATENATE(B291," ",C291)</f>
        <v>dynastar menace</v>
      </c>
      <c r="K291" s="5" t="str">
        <f aca="false">IF(D291&lt;80,VLOOKUP(D291,R:S,2,FALSE()),CONCATENATE(D291," cm"))</f>
        <v>170 cm</v>
      </c>
      <c r="L291" s="17" t="n">
        <f aca="false">E291</f>
        <v>125</v>
      </c>
    </row>
    <row r="292" customFormat="false" ht="15" hidden="false" customHeight="false" outlineLevel="0" collapsed="false">
      <c r="A292" s="12" t="s">
        <v>471</v>
      </c>
      <c r="B292" s="13" t="s">
        <v>105</v>
      </c>
      <c r="C292" s="14" t="s">
        <v>472</v>
      </c>
      <c r="D292" s="15" t="n">
        <v>154</v>
      </c>
      <c r="E292" s="16" t="n">
        <v>245</v>
      </c>
      <c r="F292" s="13" t="s">
        <v>30</v>
      </c>
      <c r="G292" s="15" t="n">
        <v>1</v>
      </c>
      <c r="H292" s="5" t="str">
        <f aca="false">SUBSTITUTE(A292,"MS","",1)</f>
        <v>54037</v>
      </c>
      <c r="I292" s="5" t="str">
        <f aca="false">VLOOKUP(F292,O:P,2,FALSE())</f>
        <v>Skis Alpin </v>
      </c>
      <c r="J292" s="5" t="str">
        <f aca="false">CONCATENATE(B292," ",C292)</f>
        <v>dynastar M free</v>
      </c>
      <c r="K292" s="5" t="str">
        <f aca="false">IF(D292&lt;80,VLOOKUP(D292,R:S,2,FALSE()),CONCATENATE(D292," cm"))</f>
        <v>154 cm</v>
      </c>
      <c r="L292" s="17" t="n">
        <f aca="false">E292</f>
        <v>245</v>
      </c>
    </row>
    <row r="293" customFormat="false" ht="15" hidden="false" customHeight="false" outlineLevel="0" collapsed="false">
      <c r="A293" s="12" t="s">
        <v>473</v>
      </c>
      <c r="B293" s="13" t="s">
        <v>105</v>
      </c>
      <c r="C293" s="14" t="s">
        <v>106</v>
      </c>
      <c r="D293" s="15" t="n">
        <v>179</v>
      </c>
      <c r="E293" s="16" t="n">
        <v>195</v>
      </c>
      <c r="F293" s="13" t="s">
        <v>30</v>
      </c>
      <c r="G293" s="15" t="n">
        <v>1</v>
      </c>
      <c r="H293" s="5" t="str">
        <f aca="false">SUBSTITUTE(A293,"MS","",1)</f>
        <v>54038</v>
      </c>
      <c r="I293" s="5" t="str">
        <f aca="false">VLOOKUP(F293,O:P,2,FALSE())</f>
        <v>Skis Alpin </v>
      </c>
      <c r="J293" s="5" t="str">
        <f aca="false">CONCATENATE(B293," ",C293)</f>
        <v>dynastar speed 4x4</v>
      </c>
      <c r="K293" s="5" t="str">
        <f aca="false">IF(D293&lt;80,VLOOKUP(D293,R:S,2,FALSE()),CONCATENATE(D293," cm"))</f>
        <v>179 cm</v>
      </c>
      <c r="L293" s="17" t="n">
        <f aca="false">E293</f>
        <v>195</v>
      </c>
    </row>
    <row r="294" customFormat="false" ht="15" hidden="false" customHeight="false" outlineLevel="0" collapsed="false">
      <c r="A294" s="12" t="s">
        <v>474</v>
      </c>
      <c r="B294" s="13" t="s">
        <v>368</v>
      </c>
      <c r="C294" s="14" t="s">
        <v>162</v>
      </c>
      <c r="D294" s="15" t="n">
        <v>174</v>
      </c>
      <c r="E294" s="16" t="n">
        <v>115</v>
      </c>
      <c r="F294" s="13" t="s">
        <v>30</v>
      </c>
      <c r="G294" s="15" t="n">
        <v>1</v>
      </c>
      <c r="H294" s="5" t="str">
        <f aca="false">SUBSTITUTE(A294,"MS","",1)</f>
        <v>54039</v>
      </c>
      <c r="I294" s="5" t="str">
        <f aca="false">VLOOKUP(F294,O:P,2,FALSE())</f>
        <v>Skis Alpin </v>
      </c>
      <c r="J294" s="5" t="str">
        <f aca="false">CONCATENATE(B294," ",C294)</f>
        <v>rossignol exp</v>
      </c>
      <c r="K294" s="5" t="str">
        <f aca="false">IF(D294&lt;80,VLOOKUP(D294,R:S,2,FALSE()),CONCATENATE(D294," cm"))</f>
        <v>174 cm</v>
      </c>
      <c r="L294" s="17" t="n">
        <f aca="false">E294</f>
        <v>115</v>
      </c>
    </row>
    <row r="295" customFormat="false" ht="15" hidden="false" customHeight="false" outlineLevel="0" collapsed="false">
      <c r="A295" s="12" t="s">
        <v>475</v>
      </c>
      <c r="B295" s="13" t="s">
        <v>368</v>
      </c>
      <c r="C295" s="14" t="s">
        <v>162</v>
      </c>
      <c r="D295" s="15" t="n">
        <v>158</v>
      </c>
      <c r="E295" s="16" t="n">
        <v>125</v>
      </c>
      <c r="F295" s="13" t="s">
        <v>30</v>
      </c>
      <c r="G295" s="15" t="n">
        <v>1</v>
      </c>
      <c r="H295" s="5" t="str">
        <f aca="false">SUBSTITUTE(A295,"MS","",1)</f>
        <v>54040</v>
      </c>
      <c r="I295" s="5" t="str">
        <f aca="false">VLOOKUP(F295,O:P,2,FALSE())</f>
        <v>Skis Alpin </v>
      </c>
      <c r="J295" s="5" t="str">
        <f aca="false">CONCATENATE(B295," ",C295)</f>
        <v>rossignol exp</v>
      </c>
      <c r="K295" s="5" t="str">
        <f aca="false">IF(D295&lt;80,VLOOKUP(D295,R:S,2,FALSE()),CONCATENATE(D295," cm"))</f>
        <v>158 cm</v>
      </c>
      <c r="L295" s="17" t="n">
        <f aca="false">E295</f>
        <v>125</v>
      </c>
    </row>
    <row r="296" customFormat="false" ht="15" hidden="false" customHeight="false" outlineLevel="0" collapsed="false">
      <c r="A296" s="12" t="s">
        <v>476</v>
      </c>
      <c r="B296" s="13" t="s">
        <v>477</v>
      </c>
      <c r="C296" s="14" t="s">
        <v>478</v>
      </c>
      <c r="D296" s="15" t="n">
        <v>165</v>
      </c>
      <c r="E296" s="16" t="n">
        <v>245</v>
      </c>
      <c r="F296" s="13" t="s">
        <v>30</v>
      </c>
      <c r="G296" s="15" t="n">
        <v>1</v>
      </c>
      <c r="H296" s="5" t="str">
        <f aca="false">SUBSTITUTE(A296,"MS","",1)</f>
        <v>54041</v>
      </c>
      <c r="I296" s="5" t="str">
        <f aca="false">VLOOKUP(F296,O:P,2,FALSE())</f>
        <v>Skis Alpin </v>
      </c>
      <c r="J296" s="5" t="str">
        <f aca="false">CONCATENATE(B296," ",C296)</f>
        <v>kastle proto</v>
      </c>
      <c r="K296" s="5" t="str">
        <f aca="false">IF(D296&lt;80,VLOOKUP(D296,R:S,2,FALSE()),CONCATENATE(D296," cm"))</f>
        <v>165 cm</v>
      </c>
      <c r="L296" s="17" t="n">
        <f aca="false">E296</f>
        <v>245</v>
      </c>
    </row>
    <row r="297" customFormat="false" ht="15" hidden="false" customHeight="false" outlineLevel="0" collapsed="false">
      <c r="A297" s="12" t="s">
        <v>479</v>
      </c>
      <c r="B297" s="13" t="s">
        <v>477</v>
      </c>
      <c r="C297" s="14" t="s">
        <v>478</v>
      </c>
      <c r="D297" s="15" t="n">
        <v>175</v>
      </c>
      <c r="E297" s="16" t="n">
        <v>245</v>
      </c>
      <c r="F297" s="13" t="s">
        <v>30</v>
      </c>
      <c r="G297" s="15" t="n">
        <v>1</v>
      </c>
      <c r="H297" s="5" t="str">
        <f aca="false">SUBSTITUTE(A297,"MS","",1)</f>
        <v>54042</v>
      </c>
      <c r="I297" s="5" t="str">
        <f aca="false">VLOOKUP(F297,O:P,2,FALSE())</f>
        <v>Skis Alpin </v>
      </c>
      <c r="J297" s="5" t="str">
        <f aca="false">CONCATENATE(B297," ",C297)</f>
        <v>kastle proto</v>
      </c>
      <c r="K297" s="5" t="str">
        <f aca="false">IF(D297&lt;80,VLOOKUP(D297,R:S,2,FALSE()),CONCATENATE(D297," cm"))</f>
        <v>175 cm</v>
      </c>
      <c r="L297" s="17" t="n">
        <f aca="false">E297</f>
        <v>245</v>
      </c>
    </row>
    <row r="298" customFormat="false" ht="15" hidden="false" customHeight="false" outlineLevel="0" collapsed="false">
      <c r="A298" s="12" t="s">
        <v>480</v>
      </c>
      <c r="B298" s="13" t="s">
        <v>477</v>
      </c>
      <c r="C298" s="14" t="s">
        <v>478</v>
      </c>
      <c r="D298" s="15" t="n">
        <v>181</v>
      </c>
      <c r="E298" s="16" t="n">
        <v>245</v>
      </c>
      <c r="F298" s="13" t="s">
        <v>30</v>
      </c>
      <c r="G298" s="15" t="n">
        <v>1</v>
      </c>
      <c r="H298" s="5" t="str">
        <f aca="false">SUBSTITUTE(A298,"MS","",1)</f>
        <v>54043</v>
      </c>
      <c r="I298" s="5" t="str">
        <f aca="false">VLOOKUP(F298,O:P,2,FALSE())</f>
        <v>Skis Alpin </v>
      </c>
      <c r="J298" s="5" t="str">
        <f aca="false">CONCATENATE(B298," ",C298)</f>
        <v>kastle proto</v>
      </c>
      <c r="K298" s="5" t="str">
        <f aca="false">IF(D298&lt;80,VLOOKUP(D298,R:S,2,FALSE()),CONCATENATE(D298," cm"))</f>
        <v>181 cm</v>
      </c>
      <c r="L298" s="17" t="n">
        <f aca="false">E298</f>
        <v>245</v>
      </c>
    </row>
    <row r="299" customFormat="false" ht="15" hidden="false" customHeight="false" outlineLevel="0" collapsed="false">
      <c r="A299" s="12" t="s">
        <v>481</v>
      </c>
      <c r="B299" s="13" t="s">
        <v>444</v>
      </c>
      <c r="C299" s="14" t="s">
        <v>147</v>
      </c>
      <c r="D299" s="15" t="n">
        <v>177</v>
      </c>
      <c r="E299" s="16" t="n">
        <v>189</v>
      </c>
      <c r="F299" s="13" t="s">
        <v>30</v>
      </c>
      <c r="G299" s="15" t="n">
        <v>1</v>
      </c>
      <c r="H299" s="5" t="str">
        <f aca="false">SUBSTITUTE(A299,"MS","",1)</f>
        <v>54044</v>
      </c>
      <c r="I299" s="5" t="str">
        <f aca="false">VLOOKUP(F299,O:P,2,FALSE())</f>
        <v>Skis Alpin </v>
      </c>
      <c r="J299" s="5" t="str">
        <f aca="false">CONCATENATE(B299," ",C299)</f>
        <v>salomon stance</v>
      </c>
      <c r="K299" s="5" t="str">
        <f aca="false">IF(D299&lt;80,VLOOKUP(D299,R:S,2,FALSE()),CONCATENATE(D299," cm"))</f>
        <v>177 cm</v>
      </c>
      <c r="L299" s="17" t="n">
        <f aca="false">E299</f>
        <v>189</v>
      </c>
    </row>
    <row r="300" customFormat="false" ht="15" hidden="false" customHeight="false" outlineLevel="0" collapsed="false">
      <c r="A300" s="12" t="s">
        <v>482</v>
      </c>
      <c r="B300" s="13" t="s">
        <v>185</v>
      </c>
      <c r="C300" s="14" t="s">
        <v>483</v>
      </c>
      <c r="D300" s="15" t="n">
        <v>172</v>
      </c>
      <c r="E300" s="16" t="n">
        <v>145</v>
      </c>
      <c r="F300" s="13" t="s">
        <v>30</v>
      </c>
      <c r="G300" s="15" t="n">
        <v>1</v>
      </c>
      <c r="H300" s="5" t="str">
        <f aca="false">SUBSTITUTE(A300,"MS","",1)</f>
        <v>54045</v>
      </c>
      <c r="I300" s="5" t="str">
        <f aca="false">VLOOKUP(F300,O:P,2,FALSE())</f>
        <v>Skis Alpin </v>
      </c>
      <c r="J300" s="5" t="str">
        <f aca="false">CONCATENATE(B300," ",C300)</f>
        <v>lacroix mach</v>
      </c>
      <c r="K300" s="5" t="str">
        <f aca="false">IF(D300&lt;80,VLOOKUP(D300,R:S,2,FALSE()),CONCATENATE(D300," cm"))</f>
        <v>172 cm</v>
      </c>
      <c r="L300" s="17" t="n">
        <f aca="false">E300</f>
        <v>145</v>
      </c>
    </row>
    <row r="301" customFormat="false" ht="15" hidden="false" customHeight="false" outlineLevel="0" collapsed="false">
      <c r="A301" s="12" t="s">
        <v>484</v>
      </c>
      <c r="B301" s="13" t="s">
        <v>191</v>
      </c>
      <c r="C301" s="14" t="s">
        <v>485</v>
      </c>
      <c r="D301" s="15" t="n">
        <v>175</v>
      </c>
      <c r="E301" s="16" t="n">
        <v>145</v>
      </c>
      <c r="F301" s="13" t="s">
        <v>30</v>
      </c>
      <c r="G301" s="15" t="n">
        <v>1</v>
      </c>
      <c r="H301" s="5" t="str">
        <f aca="false">SUBSTITUTE(A301,"MS","",1)</f>
        <v>54046</v>
      </c>
      <c r="I301" s="5" t="str">
        <f aca="false">VLOOKUP(F301,O:P,2,FALSE())</f>
        <v>Skis Alpin </v>
      </c>
      <c r="J301" s="5" t="str">
        <f aca="false">CONCATENATE(B301," ",C301)</f>
        <v>atomic g7</v>
      </c>
      <c r="K301" s="5" t="str">
        <f aca="false">IF(D301&lt;80,VLOOKUP(D301,R:S,2,FALSE()),CONCATENATE(D301," cm"))</f>
        <v>175 cm</v>
      </c>
      <c r="L301" s="17" t="n">
        <f aca="false">E301</f>
        <v>145</v>
      </c>
    </row>
    <row r="302" customFormat="false" ht="15" hidden="false" customHeight="false" outlineLevel="0" collapsed="false">
      <c r="A302" s="12" t="s">
        <v>486</v>
      </c>
      <c r="B302" s="13" t="s">
        <v>73</v>
      </c>
      <c r="C302" s="14" t="s">
        <v>487</v>
      </c>
      <c r="D302" s="15" t="n">
        <v>147</v>
      </c>
      <c r="E302" s="16" t="n">
        <v>169</v>
      </c>
      <c r="F302" s="13" t="s">
        <v>30</v>
      </c>
      <c r="G302" s="15" t="n">
        <v>1</v>
      </c>
      <c r="H302" s="5" t="str">
        <f aca="false">SUBSTITUTE(A302,"MS","",1)</f>
        <v>54047</v>
      </c>
      <c r="I302" s="5" t="str">
        <f aca="false">VLOOKUP(F302,O:P,2,FALSE())</f>
        <v>Skis Alpin </v>
      </c>
      <c r="J302" s="5" t="str">
        <f aca="false">CONCATENATE(B302," ",C302)</f>
        <v>volkl yumi</v>
      </c>
      <c r="K302" s="5" t="str">
        <f aca="false">IF(D302&lt;80,VLOOKUP(D302,R:S,2,FALSE()),CONCATENATE(D302," cm"))</f>
        <v>147 cm</v>
      </c>
      <c r="L302" s="17" t="n">
        <f aca="false">E302</f>
        <v>169</v>
      </c>
    </row>
    <row r="303" customFormat="false" ht="15" hidden="false" customHeight="false" outlineLevel="0" collapsed="false">
      <c r="A303" s="12" t="s">
        <v>488</v>
      </c>
      <c r="B303" s="13" t="s">
        <v>191</v>
      </c>
      <c r="C303" s="14" t="s">
        <v>489</v>
      </c>
      <c r="D303" s="15" t="n">
        <v>47</v>
      </c>
      <c r="E303" s="16" t="n">
        <v>49</v>
      </c>
      <c r="F303" s="13" t="s">
        <v>46</v>
      </c>
      <c r="G303" s="15" t="n">
        <v>1</v>
      </c>
      <c r="H303" s="5" t="str">
        <f aca="false">SUBSTITUTE(A303,"MS","",1)</f>
        <v>54048</v>
      </c>
      <c r="I303" s="5" t="str">
        <f aca="false">VLOOKUP(F303,O:P,2,FALSE())</f>
        <v>Chaussures Alpin </v>
      </c>
      <c r="J303" s="5" t="str">
        <f aca="false">CONCATENATE(B303," ",C303)</f>
        <v>atomic hawks</v>
      </c>
      <c r="K303" s="5" t="str">
        <f aca="false">IF(D303&lt;80,VLOOKUP(D303,R:S,2,FALSE()),CONCATENATE(D303," cm"))</f>
        <v>47 (EU) / 30 (MP)</v>
      </c>
      <c r="L303" s="17" t="n">
        <f aca="false">E303</f>
        <v>49</v>
      </c>
    </row>
    <row r="304" customFormat="false" ht="15" hidden="false" customHeight="false" outlineLevel="0" collapsed="false">
      <c r="A304" s="12" t="s">
        <v>490</v>
      </c>
      <c r="B304" s="13" t="s">
        <v>191</v>
      </c>
      <c r="C304" s="14" t="s">
        <v>489</v>
      </c>
      <c r="D304" s="15" t="n">
        <v>45</v>
      </c>
      <c r="E304" s="16" t="n">
        <v>49</v>
      </c>
      <c r="F304" s="13" t="s">
        <v>46</v>
      </c>
      <c r="G304" s="15" t="n">
        <v>1</v>
      </c>
      <c r="H304" s="5" t="str">
        <f aca="false">SUBSTITUTE(A304,"MS","",1)</f>
        <v>54049</v>
      </c>
      <c r="I304" s="5" t="str">
        <f aca="false">VLOOKUP(F304,O:P,2,FALSE())</f>
        <v>Chaussures Alpin </v>
      </c>
      <c r="J304" s="5" t="str">
        <f aca="false">CONCATENATE(B304," ",C304)</f>
        <v>atomic hawks</v>
      </c>
      <c r="K304" s="5" t="str">
        <f aca="false">IF(D304&lt;80,VLOOKUP(D304,R:S,2,FALSE()),CONCATENATE(D304," cm"))</f>
        <v>45 (EU) / 29 (MP)</v>
      </c>
      <c r="L304" s="17" t="n">
        <f aca="false">E304</f>
        <v>49</v>
      </c>
    </row>
    <row r="305" customFormat="false" ht="15" hidden="false" customHeight="false" outlineLevel="0" collapsed="false">
      <c r="A305" s="12" t="s">
        <v>491</v>
      </c>
      <c r="B305" s="13" t="s">
        <v>492</v>
      </c>
      <c r="C305" s="14" t="s">
        <v>493</v>
      </c>
      <c r="D305" s="15" t="n">
        <v>46</v>
      </c>
      <c r="E305" s="16" t="n">
        <v>49</v>
      </c>
      <c r="F305" s="13" t="s">
        <v>46</v>
      </c>
      <c r="G305" s="15" t="n">
        <v>1</v>
      </c>
      <c r="H305" s="5" t="str">
        <f aca="false">SUBSTITUTE(A305,"MS","",1)</f>
        <v>54050</v>
      </c>
      <c r="I305" s="5" t="str">
        <f aca="false">VLOOKUP(F305,O:P,2,FALSE())</f>
        <v>Chaussures Alpin </v>
      </c>
      <c r="J305" s="5" t="str">
        <f aca="false">CONCATENATE(B305," ",C305)</f>
        <v>lange sx</v>
      </c>
      <c r="K305" s="5" t="str">
        <f aca="false">IF(D305&lt;80,VLOOKUP(D305,R:S,2,FALSE()),CONCATENATE(D305," cm"))</f>
        <v>46 (EU) / 29 (MP)</v>
      </c>
      <c r="L305" s="17" t="n">
        <f aca="false">E305</f>
        <v>49</v>
      </c>
    </row>
    <row r="306" customFormat="false" ht="15" hidden="false" customHeight="false" outlineLevel="0" collapsed="false">
      <c r="A306" s="12" t="s">
        <v>494</v>
      </c>
      <c r="B306" s="13" t="s">
        <v>492</v>
      </c>
      <c r="C306" s="14" t="s">
        <v>493</v>
      </c>
      <c r="D306" s="15" t="n">
        <v>45</v>
      </c>
      <c r="E306" s="16" t="n">
        <v>49</v>
      </c>
      <c r="F306" s="13" t="s">
        <v>46</v>
      </c>
      <c r="G306" s="15" t="n">
        <v>1</v>
      </c>
      <c r="H306" s="5" t="str">
        <f aca="false">SUBSTITUTE(A306,"MS","",1)</f>
        <v>54051</v>
      </c>
      <c r="I306" s="5" t="str">
        <f aca="false">VLOOKUP(F306,O:P,2,FALSE())</f>
        <v>Chaussures Alpin </v>
      </c>
      <c r="J306" s="5" t="str">
        <f aca="false">CONCATENATE(B306," ",C306)</f>
        <v>lange sx</v>
      </c>
      <c r="K306" s="5" t="str">
        <f aca="false">IF(D306&lt;80,VLOOKUP(D306,R:S,2,FALSE()),CONCATENATE(D306," cm"))</f>
        <v>45 (EU) / 29 (MP)</v>
      </c>
      <c r="L306" s="17" t="n">
        <f aca="false">E306</f>
        <v>49</v>
      </c>
    </row>
    <row r="307" customFormat="false" ht="15" hidden="false" customHeight="false" outlineLevel="0" collapsed="false">
      <c r="A307" s="12" t="s">
        <v>495</v>
      </c>
      <c r="B307" s="13" t="s">
        <v>358</v>
      </c>
      <c r="C307" s="14" t="s">
        <v>496</v>
      </c>
      <c r="D307" s="15" t="n">
        <v>46</v>
      </c>
      <c r="E307" s="16" t="n">
        <v>55</v>
      </c>
      <c r="F307" s="13" t="s">
        <v>46</v>
      </c>
      <c r="G307" s="15" t="n">
        <v>1</v>
      </c>
      <c r="H307" s="5" t="str">
        <f aca="false">SUBSTITUTE(A307,"MS","",1)</f>
        <v>54052</v>
      </c>
      <c r="I307" s="5" t="str">
        <f aca="false">VLOOKUP(F307,O:P,2,FALSE())</f>
        <v>Chaussures Alpin </v>
      </c>
      <c r="J307" s="5" t="str">
        <f aca="false">CONCATENATE(B307," ",C307)</f>
        <v>nordica sport</v>
      </c>
      <c r="K307" s="5" t="str">
        <f aca="false">IF(D307&lt;80,VLOOKUP(D307,R:S,2,FALSE()),CONCATENATE(D307," cm"))</f>
        <v>46 (EU) / 29 (MP)</v>
      </c>
      <c r="L307" s="17" t="n">
        <f aca="false">E307</f>
        <v>55</v>
      </c>
    </row>
    <row r="308" customFormat="false" ht="15" hidden="false" customHeight="false" outlineLevel="0" collapsed="false">
      <c r="A308" s="12" t="s">
        <v>497</v>
      </c>
      <c r="B308" s="13" t="s">
        <v>191</v>
      </c>
      <c r="C308" s="14" t="s">
        <v>489</v>
      </c>
      <c r="D308" s="15" t="n">
        <v>46</v>
      </c>
      <c r="E308" s="16" t="n">
        <v>49</v>
      </c>
      <c r="F308" s="13" t="s">
        <v>46</v>
      </c>
      <c r="G308" s="15" t="n">
        <v>1</v>
      </c>
      <c r="H308" s="5" t="str">
        <f aca="false">SUBSTITUTE(A308,"MS","",1)</f>
        <v>54053</v>
      </c>
      <c r="I308" s="5" t="str">
        <f aca="false">VLOOKUP(F308,O:P,2,FALSE())</f>
        <v>Chaussures Alpin </v>
      </c>
      <c r="J308" s="5" t="str">
        <f aca="false">CONCATENATE(B308," ",C308)</f>
        <v>atomic hawks</v>
      </c>
      <c r="K308" s="5" t="str">
        <f aca="false">IF(D308&lt;80,VLOOKUP(D308,R:S,2,FALSE()),CONCATENATE(D308," cm"))</f>
        <v>46 (EU) / 29 (MP)</v>
      </c>
      <c r="L308" s="17" t="n">
        <f aca="false">E308</f>
        <v>49</v>
      </c>
    </row>
    <row r="309" customFormat="false" ht="15" hidden="false" customHeight="false" outlineLevel="0" collapsed="false">
      <c r="A309" s="12" t="s">
        <v>498</v>
      </c>
      <c r="B309" s="13" t="s">
        <v>499</v>
      </c>
      <c r="C309" s="14" t="s">
        <v>496</v>
      </c>
      <c r="D309" s="15" t="n">
        <v>45</v>
      </c>
      <c r="E309" s="16" t="n">
        <v>55</v>
      </c>
      <c r="F309" s="13" t="s">
        <v>46</v>
      </c>
      <c r="G309" s="15" t="n">
        <v>1</v>
      </c>
      <c r="H309" s="5" t="str">
        <f aca="false">SUBSTITUTE(A309,"MS","",1)</f>
        <v>54054</v>
      </c>
      <c r="I309" s="5" t="str">
        <f aca="false">VLOOKUP(F309,O:P,2,FALSE())</f>
        <v>Chaussures Alpin </v>
      </c>
      <c r="J309" s="5" t="str">
        <f aca="false">CONCATENATE(B309," ",C309)</f>
        <v>dalbello sport</v>
      </c>
      <c r="K309" s="5" t="str">
        <f aca="false">IF(D309&lt;80,VLOOKUP(D309,R:S,2,FALSE()),CONCATENATE(D309," cm"))</f>
        <v>45 (EU) / 29 (MP)</v>
      </c>
      <c r="L309" s="17" t="n">
        <f aca="false">E309</f>
        <v>55</v>
      </c>
    </row>
    <row r="310" customFormat="false" ht="15" hidden="false" customHeight="false" outlineLevel="0" collapsed="false">
      <c r="A310" s="12" t="s">
        <v>500</v>
      </c>
      <c r="B310" s="13" t="s">
        <v>240</v>
      </c>
      <c r="C310" s="14" t="s">
        <v>501</v>
      </c>
      <c r="D310" s="15" t="n">
        <v>44</v>
      </c>
      <c r="E310" s="16" t="n">
        <v>55</v>
      </c>
      <c r="F310" s="13" t="s">
        <v>46</v>
      </c>
      <c r="G310" s="15" t="n">
        <v>1</v>
      </c>
      <c r="H310" s="5" t="str">
        <f aca="false">SUBSTITUTE(A310,"MS","",1)</f>
        <v>54055</v>
      </c>
      <c r="I310" s="5" t="str">
        <f aca="false">VLOOKUP(F310,O:P,2,FALSE())</f>
        <v>Chaussures Alpin </v>
      </c>
      <c r="J310" s="5" t="str">
        <f aca="false">CONCATENATE(B310," ",C310)</f>
        <v>head lyt</v>
      </c>
      <c r="K310" s="5" t="str">
        <f aca="false">IF(D310&lt;80,VLOOKUP(D310,R:S,2,FALSE()),CONCATENATE(D310," cm"))</f>
        <v>44 (EU) / 28 (MP)</v>
      </c>
      <c r="L310" s="17" t="n">
        <f aca="false">E310</f>
        <v>55</v>
      </c>
    </row>
    <row r="311" customFormat="false" ht="15" hidden="false" customHeight="false" outlineLevel="0" collapsed="false">
      <c r="A311" s="12" t="s">
        <v>502</v>
      </c>
      <c r="B311" s="13" t="s">
        <v>492</v>
      </c>
      <c r="C311" s="14" t="s">
        <v>503</v>
      </c>
      <c r="D311" s="15" t="n">
        <v>44</v>
      </c>
      <c r="E311" s="16" t="n">
        <v>49</v>
      </c>
      <c r="F311" s="13" t="s">
        <v>46</v>
      </c>
      <c r="G311" s="15" t="n">
        <v>1</v>
      </c>
      <c r="H311" s="5" t="str">
        <f aca="false">SUBSTITUTE(A311,"MS","",1)</f>
        <v>54056</v>
      </c>
      <c r="I311" s="5" t="str">
        <f aca="false">VLOOKUP(F311,O:P,2,FALSE())</f>
        <v>Chaussures Alpin </v>
      </c>
      <c r="J311" s="5" t="str">
        <f aca="false">CONCATENATE(B311," ",C311)</f>
        <v>lange lx</v>
      </c>
      <c r="K311" s="5" t="str">
        <f aca="false">IF(D311&lt;80,VLOOKUP(D311,R:S,2,FALSE()),CONCATENATE(D311," cm"))</f>
        <v>44 (EU) / 28 (MP)</v>
      </c>
      <c r="L311" s="17" t="n">
        <f aca="false">E311</f>
        <v>49</v>
      </c>
    </row>
    <row r="312" customFormat="false" ht="15" hidden="false" customHeight="false" outlineLevel="0" collapsed="false">
      <c r="A312" s="12" t="s">
        <v>504</v>
      </c>
      <c r="B312" s="13" t="s">
        <v>505</v>
      </c>
      <c r="C312" s="14" t="s">
        <v>483</v>
      </c>
      <c r="D312" s="15" t="n">
        <v>44</v>
      </c>
      <c r="E312" s="16" t="n">
        <v>59</v>
      </c>
      <c r="F312" s="13" t="s">
        <v>46</v>
      </c>
      <c r="G312" s="15" t="n">
        <v>1</v>
      </c>
      <c r="H312" s="5" t="str">
        <f aca="false">SUBSTITUTE(A312,"MS","",1)</f>
        <v>54057</v>
      </c>
      <c r="I312" s="5" t="str">
        <f aca="false">VLOOKUP(F312,O:P,2,FALSE())</f>
        <v>Chaussures Alpin </v>
      </c>
      <c r="J312" s="5" t="str">
        <f aca="false">CONCATENATE(B312," ",C312)</f>
        <v>tecnica mach</v>
      </c>
      <c r="K312" s="5" t="str">
        <f aca="false">IF(D312&lt;80,VLOOKUP(D312,R:S,2,FALSE()),CONCATENATE(D312," cm"))</f>
        <v>44 (EU) / 28 (MP)</v>
      </c>
      <c r="L312" s="17" t="n">
        <f aca="false">E312</f>
        <v>59</v>
      </c>
    </row>
    <row r="313" customFormat="false" ht="15" hidden="false" customHeight="false" outlineLevel="0" collapsed="false">
      <c r="A313" s="12" t="s">
        <v>506</v>
      </c>
      <c r="B313" s="13" t="s">
        <v>358</v>
      </c>
      <c r="C313" s="14" t="s">
        <v>283</v>
      </c>
      <c r="D313" s="15" t="n">
        <v>44</v>
      </c>
      <c r="E313" s="16" t="n">
        <v>59</v>
      </c>
      <c r="F313" s="13" t="s">
        <v>46</v>
      </c>
      <c r="G313" s="15" t="n">
        <v>1</v>
      </c>
      <c r="H313" s="5" t="str">
        <f aca="false">SUBSTITUTE(A313,"MS","",1)</f>
        <v>54058</v>
      </c>
      <c r="I313" s="5" t="str">
        <f aca="false">VLOOKUP(F313,O:P,2,FALSE())</f>
        <v>Chaussures Alpin </v>
      </c>
      <c r="J313" s="5" t="str">
        <f aca="false">CONCATENATE(B313," ",C313)</f>
        <v>nordica speed</v>
      </c>
      <c r="K313" s="5" t="str">
        <f aca="false">IF(D313&lt;80,VLOOKUP(D313,R:S,2,FALSE()),CONCATENATE(D313," cm"))</f>
        <v>44 (EU) / 28 (MP)</v>
      </c>
      <c r="L313" s="17" t="n">
        <f aca="false">E313</f>
        <v>59</v>
      </c>
    </row>
    <row r="314" customFormat="false" ht="15" hidden="false" customHeight="false" outlineLevel="0" collapsed="false">
      <c r="A314" s="12" t="s">
        <v>507</v>
      </c>
      <c r="B314" s="13" t="s">
        <v>492</v>
      </c>
      <c r="C314" s="14" t="s">
        <v>508</v>
      </c>
      <c r="D314" s="15" t="n">
        <v>44</v>
      </c>
      <c r="E314" s="16" t="n">
        <v>59</v>
      </c>
      <c r="F314" s="13" t="s">
        <v>46</v>
      </c>
      <c r="G314" s="15" t="n">
        <v>1</v>
      </c>
      <c r="H314" s="5" t="str">
        <f aca="false">SUBSTITUTE(A314,"MS","",1)</f>
        <v>54059</v>
      </c>
      <c r="I314" s="5" t="str">
        <f aca="false">VLOOKUP(F314,O:P,2,FALSE())</f>
        <v>Chaussures Alpin </v>
      </c>
      <c r="J314" s="5" t="str">
        <f aca="false">CONCATENATE(B314," ",C314)</f>
        <v>lange rx</v>
      </c>
      <c r="K314" s="5" t="str">
        <f aca="false">IF(D314&lt;80,VLOOKUP(D314,R:S,2,FALSE()),CONCATENATE(D314," cm"))</f>
        <v>44 (EU) / 28 (MP)</v>
      </c>
      <c r="L314" s="17" t="n">
        <f aca="false">E314</f>
        <v>59</v>
      </c>
    </row>
    <row r="315" customFormat="false" ht="15" hidden="false" customHeight="false" outlineLevel="0" collapsed="false">
      <c r="A315" s="12" t="s">
        <v>509</v>
      </c>
      <c r="B315" s="13" t="s">
        <v>444</v>
      </c>
      <c r="C315" s="14" t="s">
        <v>510</v>
      </c>
      <c r="D315" s="15" t="n">
        <v>45</v>
      </c>
      <c r="E315" s="16" t="n">
        <v>59</v>
      </c>
      <c r="F315" s="13" t="s">
        <v>46</v>
      </c>
      <c r="G315" s="15" t="n">
        <v>1</v>
      </c>
      <c r="H315" s="5" t="str">
        <f aca="false">SUBSTITUTE(A315,"MS","",1)</f>
        <v>54060</v>
      </c>
      <c r="I315" s="5" t="str">
        <f aca="false">VLOOKUP(F315,O:P,2,FALSE())</f>
        <v>Chaussures Alpin </v>
      </c>
      <c r="J315" s="5" t="str">
        <f aca="false">CONCATENATE(B315," ",C315)</f>
        <v>salomon xpro</v>
      </c>
      <c r="K315" s="5" t="str">
        <f aca="false">IF(D315&lt;80,VLOOKUP(D315,R:S,2,FALSE()),CONCATENATE(D315," cm"))</f>
        <v>45 (EU) / 29 (MP)</v>
      </c>
      <c r="L315" s="17" t="n">
        <f aca="false">E315</f>
        <v>59</v>
      </c>
    </row>
    <row r="316" customFormat="false" ht="15" hidden="false" customHeight="false" outlineLevel="0" collapsed="false">
      <c r="A316" s="12" t="s">
        <v>511</v>
      </c>
      <c r="B316" s="13" t="s">
        <v>368</v>
      </c>
      <c r="C316" s="14" t="s">
        <v>512</v>
      </c>
      <c r="D316" s="15" t="n">
        <v>45</v>
      </c>
      <c r="E316" s="16" t="n">
        <v>49</v>
      </c>
      <c r="F316" s="13" t="s">
        <v>46</v>
      </c>
      <c r="G316" s="15" t="n">
        <v>1</v>
      </c>
      <c r="H316" s="5" t="str">
        <f aca="false">SUBSTITUTE(A316,"MS","",1)</f>
        <v>54061</v>
      </c>
      <c r="I316" s="5" t="str">
        <f aca="false">VLOOKUP(F316,O:P,2,FALSE())</f>
        <v>Chaussures Alpin </v>
      </c>
      <c r="J316" s="5" t="str">
        <f aca="false">CONCATENATE(B316," ",C316)</f>
        <v>rossignol alltrack</v>
      </c>
      <c r="K316" s="5" t="str">
        <f aca="false">IF(D316&lt;80,VLOOKUP(D316,R:S,2,FALSE()),CONCATENATE(D316," cm"))</f>
        <v>45 (EU) / 29 (MP)</v>
      </c>
      <c r="L316" s="17" t="n">
        <f aca="false">E316</f>
        <v>49</v>
      </c>
    </row>
    <row r="317" customFormat="false" ht="15" hidden="false" customHeight="false" outlineLevel="0" collapsed="false">
      <c r="A317" s="12" t="s">
        <v>513</v>
      </c>
      <c r="B317" s="13" t="s">
        <v>444</v>
      </c>
      <c r="C317" s="14" t="s">
        <v>510</v>
      </c>
      <c r="D317" s="15" t="n">
        <v>44</v>
      </c>
      <c r="E317" s="16" t="n">
        <v>59</v>
      </c>
      <c r="F317" s="13" t="s">
        <v>46</v>
      </c>
      <c r="G317" s="15" t="n">
        <v>1</v>
      </c>
      <c r="H317" s="5" t="str">
        <f aca="false">SUBSTITUTE(A317,"MS","",1)</f>
        <v>54062</v>
      </c>
      <c r="I317" s="5" t="str">
        <f aca="false">VLOOKUP(F317,O:P,2,FALSE())</f>
        <v>Chaussures Alpin </v>
      </c>
      <c r="J317" s="5" t="str">
        <f aca="false">CONCATENATE(B317," ",C317)</f>
        <v>salomon xpro</v>
      </c>
      <c r="K317" s="5" t="str">
        <f aca="false">IF(D317&lt;80,VLOOKUP(D317,R:S,2,FALSE()),CONCATENATE(D317," cm"))</f>
        <v>44 (EU) / 28 (MP)</v>
      </c>
      <c r="L317" s="17" t="n">
        <f aca="false">E317</f>
        <v>59</v>
      </c>
    </row>
    <row r="318" customFormat="false" ht="15" hidden="false" customHeight="false" outlineLevel="0" collapsed="false">
      <c r="A318" s="12" t="s">
        <v>514</v>
      </c>
      <c r="B318" s="13" t="s">
        <v>515</v>
      </c>
      <c r="C318" s="14" t="s">
        <v>516</v>
      </c>
      <c r="D318" s="15" t="n">
        <v>44</v>
      </c>
      <c r="E318" s="16" t="n">
        <v>59</v>
      </c>
      <c r="F318" s="13" t="s">
        <v>46</v>
      </c>
      <c r="G318" s="15" t="n">
        <v>1</v>
      </c>
      <c r="H318" s="5" t="str">
        <f aca="false">SUBSTITUTE(A318,"MS","",1)</f>
        <v>54063</v>
      </c>
      <c r="I318" s="5" t="str">
        <f aca="false">VLOOKUP(F318,O:P,2,FALSE())</f>
        <v>Chaussures Alpin </v>
      </c>
      <c r="J318" s="5" t="str">
        <f aca="false">CONCATENATE(B318," ",C318)</f>
        <v>roxa pro fit</v>
      </c>
      <c r="K318" s="5" t="str">
        <f aca="false">IF(D318&lt;80,VLOOKUP(D318,R:S,2,FALSE()),CONCATENATE(D318," cm"))</f>
        <v>44 (EU) / 28 (MP)</v>
      </c>
      <c r="L318" s="17" t="n">
        <f aca="false">E318</f>
        <v>59</v>
      </c>
    </row>
    <row r="319" customFormat="false" ht="15" hidden="false" customHeight="false" outlineLevel="0" collapsed="false">
      <c r="A319" s="12" t="s">
        <v>517</v>
      </c>
      <c r="B319" s="13" t="s">
        <v>515</v>
      </c>
      <c r="C319" s="14" t="s">
        <v>516</v>
      </c>
      <c r="D319" s="15" t="n">
        <v>43</v>
      </c>
      <c r="E319" s="16" t="n">
        <v>59</v>
      </c>
      <c r="F319" s="13" t="s">
        <v>46</v>
      </c>
      <c r="G319" s="15" t="n">
        <v>1</v>
      </c>
      <c r="H319" s="5" t="str">
        <f aca="false">SUBSTITUTE(A319,"MS","",1)</f>
        <v>54064</v>
      </c>
      <c r="I319" s="5" t="str">
        <f aca="false">VLOOKUP(F319,O:P,2,FALSE())</f>
        <v>Chaussures Alpin </v>
      </c>
      <c r="J319" s="5" t="str">
        <f aca="false">CONCATENATE(B319," ",C319)</f>
        <v>roxa pro fit</v>
      </c>
      <c r="K319" s="5" t="str">
        <f aca="false">IF(D319&lt;80,VLOOKUP(D319,R:S,2,FALSE()),CONCATENATE(D319," cm"))</f>
        <v>43 (EU) / 27 (MP)</v>
      </c>
      <c r="L319" s="17" t="n">
        <f aca="false">E319</f>
        <v>59</v>
      </c>
    </row>
    <row r="320" customFormat="false" ht="15" hidden="false" customHeight="false" outlineLevel="0" collapsed="false">
      <c r="A320" s="12" t="s">
        <v>518</v>
      </c>
      <c r="B320" s="13" t="s">
        <v>505</v>
      </c>
      <c r="C320" s="14" t="s">
        <v>483</v>
      </c>
      <c r="D320" s="15" t="n">
        <v>43</v>
      </c>
      <c r="E320" s="16" t="n">
        <v>59</v>
      </c>
      <c r="F320" s="13" t="s">
        <v>46</v>
      </c>
      <c r="G320" s="15" t="n">
        <v>1</v>
      </c>
      <c r="H320" s="5" t="str">
        <f aca="false">SUBSTITUTE(A320,"MS","",1)</f>
        <v>54065</v>
      </c>
      <c r="I320" s="5" t="str">
        <f aca="false">VLOOKUP(F320,O:P,2,FALSE())</f>
        <v>Chaussures Alpin </v>
      </c>
      <c r="J320" s="5" t="str">
        <f aca="false">CONCATENATE(B320," ",C320)</f>
        <v>tecnica mach</v>
      </c>
      <c r="K320" s="5" t="str">
        <f aca="false">IF(D320&lt;80,VLOOKUP(D320,R:S,2,FALSE()),CONCATENATE(D320," cm"))</f>
        <v>43 (EU) / 27 (MP)</v>
      </c>
      <c r="L320" s="17" t="n">
        <f aca="false">E320</f>
        <v>59</v>
      </c>
    </row>
    <row r="321" customFormat="false" ht="15" hidden="false" customHeight="false" outlineLevel="0" collapsed="false">
      <c r="A321" s="12" t="s">
        <v>519</v>
      </c>
      <c r="B321" s="13" t="s">
        <v>505</v>
      </c>
      <c r="C321" s="14" t="s">
        <v>483</v>
      </c>
      <c r="D321" s="15" t="n">
        <v>44</v>
      </c>
      <c r="E321" s="16" t="n">
        <v>59</v>
      </c>
      <c r="F321" s="13" t="s">
        <v>46</v>
      </c>
      <c r="G321" s="15" t="n">
        <v>1</v>
      </c>
      <c r="H321" s="5" t="str">
        <f aca="false">SUBSTITUTE(A321,"MS","",1)</f>
        <v>54066</v>
      </c>
      <c r="I321" s="5" t="str">
        <f aca="false">VLOOKUP(F321,O:P,2,FALSE())</f>
        <v>Chaussures Alpin </v>
      </c>
      <c r="J321" s="5" t="str">
        <f aca="false">CONCATENATE(B321," ",C321)</f>
        <v>tecnica mach</v>
      </c>
      <c r="K321" s="5" t="str">
        <f aca="false">IF(D321&lt;80,VLOOKUP(D321,R:S,2,FALSE()),CONCATENATE(D321," cm"))</f>
        <v>44 (EU) / 28 (MP)</v>
      </c>
      <c r="L321" s="17" t="n">
        <f aca="false">E321</f>
        <v>59</v>
      </c>
    </row>
    <row r="322" customFormat="false" ht="15" hidden="false" customHeight="false" outlineLevel="0" collapsed="false">
      <c r="A322" s="12" t="s">
        <v>520</v>
      </c>
      <c r="B322" s="13" t="s">
        <v>505</v>
      </c>
      <c r="C322" s="14" t="s">
        <v>483</v>
      </c>
      <c r="D322" s="15" t="n">
        <v>44</v>
      </c>
      <c r="E322" s="16" t="n">
        <v>59</v>
      </c>
      <c r="F322" s="13" t="s">
        <v>46</v>
      </c>
      <c r="G322" s="15" t="n">
        <v>1</v>
      </c>
      <c r="H322" s="5" t="str">
        <f aca="false">SUBSTITUTE(A322,"MS","",1)</f>
        <v>54067</v>
      </c>
      <c r="I322" s="5" t="str">
        <f aca="false">VLOOKUP(F322,O:P,2,FALSE())</f>
        <v>Chaussures Alpin </v>
      </c>
      <c r="J322" s="5" t="str">
        <f aca="false">CONCATENATE(B322," ",C322)</f>
        <v>tecnica mach</v>
      </c>
      <c r="K322" s="5" t="str">
        <f aca="false">IF(D322&lt;80,VLOOKUP(D322,R:S,2,FALSE()),CONCATENATE(D322," cm"))</f>
        <v>44 (EU) / 28 (MP)</v>
      </c>
      <c r="L322" s="17" t="n">
        <f aca="false">E322</f>
        <v>59</v>
      </c>
    </row>
    <row r="323" customFormat="false" ht="15" hidden="false" customHeight="false" outlineLevel="0" collapsed="false">
      <c r="A323" s="12" t="s">
        <v>521</v>
      </c>
      <c r="B323" s="13" t="s">
        <v>505</v>
      </c>
      <c r="C323" s="14" t="s">
        <v>483</v>
      </c>
      <c r="D323" s="15" t="n">
        <v>44</v>
      </c>
      <c r="E323" s="16" t="n">
        <v>59</v>
      </c>
      <c r="F323" s="13" t="s">
        <v>46</v>
      </c>
      <c r="G323" s="15" t="n">
        <v>1</v>
      </c>
      <c r="H323" s="5" t="str">
        <f aca="false">SUBSTITUTE(A323,"MS","",1)</f>
        <v>54068</v>
      </c>
      <c r="I323" s="5" t="str">
        <f aca="false">VLOOKUP(F323,O:P,2,FALSE())</f>
        <v>Chaussures Alpin </v>
      </c>
      <c r="J323" s="5" t="str">
        <f aca="false">CONCATENATE(B323," ",C323)</f>
        <v>tecnica mach</v>
      </c>
      <c r="K323" s="5" t="str">
        <f aca="false">IF(D323&lt;80,VLOOKUP(D323,R:S,2,FALSE()),CONCATENATE(D323," cm"))</f>
        <v>44 (EU) / 28 (MP)</v>
      </c>
      <c r="L323" s="17" t="n">
        <f aca="false">E323</f>
        <v>59</v>
      </c>
    </row>
    <row r="324" customFormat="false" ht="15" hidden="false" customHeight="false" outlineLevel="0" collapsed="false">
      <c r="A324" s="12" t="s">
        <v>522</v>
      </c>
      <c r="B324" s="13" t="s">
        <v>368</v>
      </c>
      <c r="C324" s="14" t="s">
        <v>512</v>
      </c>
      <c r="D324" s="15" t="n">
        <v>44</v>
      </c>
      <c r="E324" s="16" t="n">
        <v>55</v>
      </c>
      <c r="F324" s="13" t="s">
        <v>46</v>
      </c>
      <c r="G324" s="15" t="n">
        <v>1</v>
      </c>
      <c r="H324" s="5" t="str">
        <f aca="false">SUBSTITUTE(A324,"MS","",1)</f>
        <v>54069</v>
      </c>
      <c r="I324" s="5" t="str">
        <f aca="false">VLOOKUP(F324,O:P,2,FALSE())</f>
        <v>Chaussures Alpin </v>
      </c>
      <c r="J324" s="5" t="str">
        <f aca="false">CONCATENATE(B324," ",C324)</f>
        <v>rossignol alltrack</v>
      </c>
      <c r="K324" s="5" t="str">
        <f aca="false">IF(D324&lt;80,VLOOKUP(D324,R:S,2,FALSE()),CONCATENATE(D324," cm"))</f>
        <v>44 (EU) / 28 (MP)</v>
      </c>
      <c r="L324" s="17" t="n">
        <f aca="false">E324</f>
        <v>55</v>
      </c>
    </row>
    <row r="325" customFormat="false" ht="15" hidden="false" customHeight="false" outlineLevel="0" collapsed="false">
      <c r="A325" s="12" t="s">
        <v>523</v>
      </c>
      <c r="B325" s="13" t="s">
        <v>368</v>
      </c>
      <c r="C325" s="14" t="s">
        <v>512</v>
      </c>
      <c r="D325" s="15" t="n">
        <v>42</v>
      </c>
      <c r="E325" s="16" t="n">
        <v>55</v>
      </c>
      <c r="F325" s="13" t="s">
        <v>46</v>
      </c>
      <c r="G325" s="15" t="n">
        <v>1</v>
      </c>
      <c r="H325" s="5" t="str">
        <f aca="false">SUBSTITUTE(A325,"MS","",1)</f>
        <v>54070</v>
      </c>
      <c r="I325" s="5" t="str">
        <f aca="false">VLOOKUP(F325,O:P,2,FALSE())</f>
        <v>Chaussures Alpin </v>
      </c>
      <c r="J325" s="5" t="str">
        <f aca="false">CONCATENATE(B325," ",C325)</f>
        <v>rossignol alltrack</v>
      </c>
      <c r="K325" s="5" t="str">
        <f aca="false">IF(D325&lt;80,VLOOKUP(D325,R:S,2,FALSE()),CONCATENATE(D325," cm"))</f>
        <v>42 (EU) / 26 (MP)</v>
      </c>
      <c r="L325" s="17" t="n">
        <f aca="false">E325</f>
        <v>55</v>
      </c>
    </row>
    <row r="326" customFormat="false" ht="15" hidden="false" customHeight="false" outlineLevel="0" collapsed="false">
      <c r="A326" s="12" t="s">
        <v>524</v>
      </c>
      <c r="B326" s="13" t="s">
        <v>368</v>
      </c>
      <c r="C326" s="14" t="s">
        <v>525</v>
      </c>
      <c r="D326" s="15" t="n">
        <v>44</v>
      </c>
      <c r="E326" s="16" t="n">
        <v>55</v>
      </c>
      <c r="F326" s="13" t="s">
        <v>46</v>
      </c>
      <c r="G326" s="15" t="n">
        <v>1</v>
      </c>
      <c r="H326" s="5" t="str">
        <f aca="false">SUBSTITUTE(A326,"MS","",1)</f>
        <v>54071</v>
      </c>
      <c r="I326" s="5" t="str">
        <f aca="false">VLOOKUP(F326,O:P,2,FALSE())</f>
        <v>Chaussures Alpin </v>
      </c>
      <c r="J326" s="5" t="str">
        <f aca="false">CONCATENATE(B326," ",C326)</f>
        <v>rossignol sensor</v>
      </c>
      <c r="K326" s="5" t="str">
        <f aca="false">IF(D326&lt;80,VLOOKUP(D326,R:S,2,FALSE()),CONCATENATE(D326," cm"))</f>
        <v>44 (EU) / 28 (MP)</v>
      </c>
      <c r="L326" s="17" t="n">
        <f aca="false">E326</f>
        <v>55</v>
      </c>
    </row>
    <row r="327" customFormat="false" ht="15" hidden="false" customHeight="false" outlineLevel="0" collapsed="false">
      <c r="A327" s="12" t="s">
        <v>526</v>
      </c>
      <c r="B327" s="13" t="s">
        <v>492</v>
      </c>
      <c r="C327" s="14" t="s">
        <v>503</v>
      </c>
      <c r="D327" s="15" t="n">
        <v>42</v>
      </c>
      <c r="E327" s="16" t="n">
        <v>49</v>
      </c>
      <c r="F327" s="13" t="s">
        <v>46</v>
      </c>
      <c r="G327" s="15" t="n">
        <v>1</v>
      </c>
      <c r="H327" s="5" t="str">
        <f aca="false">SUBSTITUTE(A327,"MS","",1)</f>
        <v>54072</v>
      </c>
      <c r="I327" s="5" t="str">
        <f aca="false">VLOOKUP(F327,O:P,2,FALSE())</f>
        <v>Chaussures Alpin </v>
      </c>
      <c r="J327" s="5" t="str">
        <f aca="false">CONCATENATE(B327," ",C327)</f>
        <v>lange lx</v>
      </c>
      <c r="K327" s="5" t="str">
        <f aca="false">IF(D327&lt;80,VLOOKUP(D327,R:S,2,FALSE()),CONCATENATE(D327," cm"))</f>
        <v>42 (EU) / 26 (MP)</v>
      </c>
      <c r="L327" s="17" t="n">
        <f aca="false">E327</f>
        <v>49</v>
      </c>
    </row>
    <row r="328" customFormat="false" ht="15" hidden="false" customHeight="false" outlineLevel="0" collapsed="false">
      <c r="A328" s="12" t="s">
        <v>527</v>
      </c>
      <c r="B328" s="13" t="s">
        <v>492</v>
      </c>
      <c r="C328" s="14" t="s">
        <v>503</v>
      </c>
      <c r="D328" s="15" t="n">
        <v>44</v>
      </c>
      <c r="E328" s="16" t="n">
        <v>49</v>
      </c>
      <c r="F328" s="13" t="s">
        <v>46</v>
      </c>
      <c r="G328" s="15" t="n">
        <v>1</v>
      </c>
      <c r="H328" s="5" t="str">
        <f aca="false">SUBSTITUTE(A328,"MS","",1)</f>
        <v>54073</v>
      </c>
      <c r="I328" s="5" t="str">
        <f aca="false">VLOOKUP(F328,O:P,2,FALSE())</f>
        <v>Chaussures Alpin </v>
      </c>
      <c r="J328" s="5" t="str">
        <f aca="false">CONCATENATE(B328," ",C328)</f>
        <v>lange lx</v>
      </c>
      <c r="K328" s="5" t="str">
        <f aca="false">IF(D328&lt;80,VLOOKUP(D328,R:S,2,FALSE()),CONCATENATE(D328," cm"))</f>
        <v>44 (EU) / 28 (MP)</v>
      </c>
      <c r="L328" s="17" t="n">
        <f aca="false">E328</f>
        <v>49</v>
      </c>
    </row>
    <row r="329" customFormat="false" ht="15" hidden="false" customHeight="false" outlineLevel="0" collapsed="false">
      <c r="A329" s="12" t="s">
        <v>528</v>
      </c>
      <c r="B329" s="13" t="s">
        <v>444</v>
      </c>
      <c r="C329" s="14" t="s">
        <v>510</v>
      </c>
      <c r="D329" s="15" t="n">
        <v>44</v>
      </c>
      <c r="E329" s="16" t="n">
        <v>59</v>
      </c>
      <c r="F329" s="13" t="s">
        <v>46</v>
      </c>
      <c r="G329" s="15" t="n">
        <v>1</v>
      </c>
      <c r="H329" s="5" t="str">
        <f aca="false">SUBSTITUTE(A329,"MS","",1)</f>
        <v>54074</v>
      </c>
      <c r="I329" s="5" t="str">
        <f aca="false">VLOOKUP(F329,O:P,2,FALSE())</f>
        <v>Chaussures Alpin </v>
      </c>
      <c r="J329" s="5" t="str">
        <f aca="false">CONCATENATE(B329," ",C329)</f>
        <v>salomon xpro</v>
      </c>
      <c r="K329" s="5" t="str">
        <f aca="false">IF(D329&lt;80,VLOOKUP(D329,R:S,2,FALSE()),CONCATENATE(D329," cm"))</f>
        <v>44 (EU) / 28 (MP)</v>
      </c>
      <c r="L329" s="17" t="n">
        <f aca="false">E329</f>
        <v>59</v>
      </c>
    </row>
    <row r="330" customFormat="false" ht="15" hidden="false" customHeight="false" outlineLevel="0" collapsed="false">
      <c r="A330" s="12" t="s">
        <v>529</v>
      </c>
      <c r="B330" s="13" t="s">
        <v>358</v>
      </c>
      <c r="C330" s="14" t="s">
        <v>530</v>
      </c>
      <c r="D330" s="15" t="n">
        <v>44</v>
      </c>
      <c r="E330" s="16" t="n">
        <v>55</v>
      </c>
      <c r="F330" s="13" t="s">
        <v>46</v>
      </c>
      <c r="G330" s="15" t="n">
        <v>1</v>
      </c>
      <c r="H330" s="5" t="str">
        <f aca="false">SUBSTITUTE(A330,"MS","",1)</f>
        <v>54075</v>
      </c>
      <c r="I330" s="5" t="str">
        <f aca="false">VLOOKUP(F330,O:P,2,FALSE())</f>
        <v>Chaussures Alpin </v>
      </c>
      <c r="J330" s="5" t="str">
        <f aca="false">CONCATENATE(B330," ",C330)</f>
        <v>nordica gpx</v>
      </c>
      <c r="K330" s="5" t="str">
        <f aca="false">IF(D330&lt;80,VLOOKUP(D330,R:S,2,FALSE()),CONCATENATE(D330," cm"))</f>
        <v>44 (EU) / 28 (MP)</v>
      </c>
      <c r="L330" s="17" t="n">
        <f aca="false">E330</f>
        <v>55</v>
      </c>
    </row>
    <row r="331" customFormat="false" ht="15" hidden="false" customHeight="false" outlineLevel="0" collapsed="false">
      <c r="A331" s="12" t="s">
        <v>531</v>
      </c>
      <c r="B331" s="13" t="s">
        <v>191</v>
      </c>
      <c r="C331" s="14" t="s">
        <v>489</v>
      </c>
      <c r="D331" s="15" t="n">
        <v>44</v>
      </c>
      <c r="E331" s="16" t="n">
        <v>45</v>
      </c>
      <c r="F331" s="13" t="s">
        <v>46</v>
      </c>
      <c r="G331" s="15" t="n">
        <v>1</v>
      </c>
      <c r="H331" s="5" t="str">
        <f aca="false">SUBSTITUTE(A331,"MS","",1)</f>
        <v>54076</v>
      </c>
      <c r="I331" s="5" t="str">
        <f aca="false">VLOOKUP(F331,O:P,2,FALSE())</f>
        <v>Chaussures Alpin </v>
      </c>
      <c r="J331" s="5" t="str">
        <f aca="false">CONCATENATE(B331," ",C331)</f>
        <v>atomic hawks</v>
      </c>
      <c r="K331" s="5" t="str">
        <f aca="false">IF(D331&lt;80,VLOOKUP(D331,R:S,2,FALSE()),CONCATENATE(D331," cm"))</f>
        <v>44 (EU) / 28 (MP)</v>
      </c>
      <c r="L331" s="17" t="n">
        <f aca="false">E331</f>
        <v>45</v>
      </c>
    </row>
    <row r="332" customFormat="false" ht="15" hidden="false" customHeight="false" outlineLevel="0" collapsed="false">
      <c r="A332" s="12" t="s">
        <v>532</v>
      </c>
      <c r="B332" s="13" t="s">
        <v>191</v>
      </c>
      <c r="C332" s="14" t="s">
        <v>489</v>
      </c>
      <c r="D332" s="15" t="n">
        <v>43</v>
      </c>
      <c r="E332" s="16" t="n">
        <v>55</v>
      </c>
      <c r="F332" s="13" t="s">
        <v>46</v>
      </c>
      <c r="G332" s="15" t="n">
        <v>1</v>
      </c>
      <c r="H332" s="5" t="str">
        <f aca="false">SUBSTITUTE(A332,"MS","",1)</f>
        <v>54077</v>
      </c>
      <c r="I332" s="5" t="str">
        <f aca="false">VLOOKUP(F332,O:P,2,FALSE())</f>
        <v>Chaussures Alpin </v>
      </c>
      <c r="J332" s="5" t="str">
        <f aca="false">CONCATENATE(B332," ",C332)</f>
        <v>atomic hawks</v>
      </c>
      <c r="K332" s="5" t="str">
        <f aca="false">IF(D332&lt;80,VLOOKUP(D332,R:S,2,FALSE()),CONCATENATE(D332," cm"))</f>
        <v>43 (EU) / 27 (MP)</v>
      </c>
      <c r="L332" s="17" t="n">
        <f aca="false">E332</f>
        <v>55</v>
      </c>
    </row>
    <row r="333" customFormat="false" ht="15" hidden="false" customHeight="false" outlineLevel="0" collapsed="false">
      <c r="A333" s="12" t="s">
        <v>533</v>
      </c>
      <c r="B333" s="13" t="s">
        <v>191</v>
      </c>
      <c r="C333" s="14" t="s">
        <v>489</v>
      </c>
      <c r="D333" s="15" t="n">
        <v>43</v>
      </c>
      <c r="E333" s="16" t="n">
        <v>49</v>
      </c>
      <c r="F333" s="13" t="s">
        <v>46</v>
      </c>
      <c r="G333" s="15" t="n">
        <v>1</v>
      </c>
      <c r="H333" s="5" t="str">
        <f aca="false">SUBSTITUTE(A333,"MS","",1)</f>
        <v>54078</v>
      </c>
      <c r="I333" s="5" t="str">
        <f aca="false">VLOOKUP(F333,O:P,2,FALSE())</f>
        <v>Chaussures Alpin </v>
      </c>
      <c r="J333" s="5" t="str">
        <f aca="false">CONCATENATE(B333," ",C333)</f>
        <v>atomic hawks</v>
      </c>
      <c r="K333" s="5" t="str">
        <f aca="false">IF(D333&lt;80,VLOOKUP(D333,R:S,2,FALSE()),CONCATENATE(D333," cm"))</f>
        <v>43 (EU) / 27 (MP)</v>
      </c>
      <c r="L333" s="17" t="n">
        <f aca="false">E333</f>
        <v>49</v>
      </c>
    </row>
    <row r="334" customFormat="false" ht="15" hidden="false" customHeight="false" outlineLevel="0" collapsed="false">
      <c r="A334" s="12" t="s">
        <v>534</v>
      </c>
      <c r="B334" s="13" t="s">
        <v>191</v>
      </c>
      <c r="C334" s="14" t="s">
        <v>489</v>
      </c>
      <c r="D334" s="15" t="n">
        <v>41</v>
      </c>
      <c r="E334" s="16" t="n">
        <v>55</v>
      </c>
      <c r="F334" s="13" t="s">
        <v>46</v>
      </c>
      <c r="G334" s="15" t="n">
        <v>1</v>
      </c>
      <c r="H334" s="5" t="str">
        <f aca="false">SUBSTITUTE(A334,"MS","",1)</f>
        <v>54079</v>
      </c>
      <c r="I334" s="5" t="str">
        <f aca="false">VLOOKUP(F334,O:P,2,FALSE())</f>
        <v>Chaussures Alpin </v>
      </c>
      <c r="J334" s="5" t="str">
        <f aca="false">CONCATENATE(B334," ",C334)</f>
        <v>atomic hawks</v>
      </c>
      <c r="K334" s="5" t="str">
        <f aca="false">IF(D334&lt;80,VLOOKUP(D334,R:S,2,FALSE()),CONCATENATE(D334," cm"))</f>
        <v>41 (EU) / 26 (MP)</v>
      </c>
      <c r="L334" s="17" t="n">
        <f aca="false">E334</f>
        <v>55</v>
      </c>
    </row>
    <row r="335" customFormat="false" ht="15" hidden="false" customHeight="false" outlineLevel="0" collapsed="false">
      <c r="A335" s="12" t="s">
        <v>535</v>
      </c>
      <c r="B335" s="13" t="s">
        <v>492</v>
      </c>
      <c r="C335" s="14" t="s">
        <v>508</v>
      </c>
      <c r="D335" s="15" t="n">
        <v>42</v>
      </c>
      <c r="E335" s="16" t="n">
        <v>59</v>
      </c>
      <c r="F335" s="13" t="s">
        <v>46</v>
      </c>
      <c r="G335" s="15" t="n">
        <v>1</v>
      </c>
      <c r="H335" s="5" t="str">
        <f aca="false">SUBSTITUTE(A335,"MS","",1)</f>
        <v>54080</v>
      </c>
      <c r="I335" s="5" t="str">
        <f aca="false">VLOOKUP(F335,O:P,2,FALSE())</f>
        <v>Chaussures Alpin </v>
      </c>
      <c r="J335" s="5" t="str">
        <f aca="false">CONCATENATE(B335," ",C335)</f>
        <v>lange rx</v>
      </c>
      <c r="K335" s="5" t="str">
        <f aca="false">IF(D335&lt;80,VLOOKUP(D335,R:S,2,FALSE()),CONCATENATE(D335," cm"))</f>
        <v>42 (EU) / 26 (MP)</v>
      </c>
      <c r="L335" s="17" t="n">
        <f aca="false">E335</f>
        <v>59</v>
      </c>
    </row>
    <row r="336" customFormat="false" ht="15" hidden="false" customHeight="false" outlineLevel="0" collapsed="false">
      <c r="A336" s="12" t="s">
        <v>536</v>
      </c>
      <c r="B336" s="13" t="s">
        <v>444</v>
      </c>
      <c r="C336" s="14" t="s">
        <v>537</v>
      </c>
      <c r="D336" s="15" t="n">
        <v>41</v>
      </c>
      <c r="E336" s="16" t="n">
        <v>55</v>
      </c>
      <c r="F336" s="13" t="s">
        <v>46</v>
      </c>
      <c r="G336" s="15" t="n">
        <v>1</v>
      </c>
      <c r="H336" s="5" t="str">
        <f aca="false">SUBSTITUTE(A336,"MS","",1)</f>
        <v>54081</v>
      </c>
      <c r="I336" s="5" t="str">
        <f aca="false">VLOOKUP(F336,O:P,2,FALSE())</f>
        <v>Chaussures Alpin </v>
      </c>
      <c r="J336" s="5" t="str">
        <f aca="false">CONCATENATE(B336," ",C336)</f>
        <v>salomon spro</v>
      </c>
      <c r="K336" s="5" t="str">
        <f aca="false">IF(D336&lt;80,VLOOKUP(D336,R:S,2,FALSE()),CONCATENATE(D336," cm"))</f>
        <v>41 (EU) / 26 (MP)</v>
      </c>
      <c r="L336" s="17" t="n">
        <f aca="false">E336</f>
        <v>55</v>
      </c>
    </row>
    <row r="337" customFormat="false" ht="15" hidden="false" customHeight="false" outlineLevel="0" collapsed="false">
      <c r="A337" s="12" t="s">
        <v>538</v>
      </c>
      <c r="B337" s="13" t="s">
        <v>492</v>
      </c>
      <c r="C337" s="14" t="s">
        <v>503</v>
      </c>
      <c r="D337" s="15" t="n">
        <v>40</v>
      </c>
      <c r="E337" s="16" t="n">
        <v>49</v>
      </c>
      <c r="F337" s="13" t="s">
        <v>46</v>
      </c>
      <c r="G337" s="15" t="n">
        <v>1</v>
      </c>
      <c r="H337" s="5" t="str">
        <f aca="false">SUBSTITUTE(A337,"MS","",1)</f>
        <v>54082</v>
      </c>
      <c r="I337" s="5" t="str">
        <f aca="false">VLOOKUP(F337,O:P,2,FALSE())</f>
        <v>Chaussures Alpin </v>
      </c>
      <c r="J337" s="5" t="str">
        <f aca="false">CONCATENATE(B337," ",C337)</f>
        <v>lange lx</v>
      </c>
      <c r="K337" s="5" t="str">
        <f aca="false">IF(D337&lt;80,VLOOKUP(D337,R:S,2,FALSE()),CONCATENATE(D337," cm"))</f>
        <v>40 (EU) / 25 (MP)</v>
      </c>
      <c r="L337" s="17" t="n">
        <f aca="false">E337</f>
        <v>49</v>
      </c>
    </row>
    <row r="338" customFormat="false" ht="15" hidden="false" customHeight="false" outlineLevel="0" collapsed="false">
      <c r="A338" s="12" t="s">
        <v>539</v>
      </c>
      <c r="B338" s="13" t="s">
        <v>444</v>
      </c>
      <c r="C338" s="14" t="s">
        <v>537</v>
      </c>
      <c r="D338" s="15" t="n">
        <v>41</v>
      </c>
      <c r="E338" s="16" t="n">
        <v>55</v>
      </c>
      <c r="F338" s="13" t="s">
        <v>46</v>
      </c>
      <c r="G338" s="15" t="n">
        <v>1</v>
      </c>
      <c r="H338" s="5" t="str">
        <f aca="false">SUBSTITUTE(A338,"MS","",1)</f>
        <v>54083</v>
      </c>
      <c r="I338" s="5" t="str">
        <f aca="false">VLOOKUP(F338,O:P,2,FALSE())</f>
        <v>Chaussures Alpin </v>
      </c>
      <c r="J338" s="5" t="str">
        <f aca="false">CONCATENATE(B338," ",C338)</f>
        <v>salomon spro</v>
      </c>
      <c r="K338" s="5" t="str">
        <f aca="false">IF(D338&lt;80,VLOOKUP(D338,R:S,2,FALSE()),CONCATENATE(D338," cm"))</f>
        <v>41 (EU) / 26 (MP)</v>
      </c>
      <c r="L338" s="17" t="n">
        <f aca="false">E338</f>
        <v>55</v>
      </c>
    </row>
    <row r="339" customFormat="false" ht="15" hidden="false" customHeight="false" outlineLevel="0" collapsed="false">
      <c r="A339" s="12" t="s">
        <v>540</v>
      </c>
      <c r="B339" s="13" t="s">
        <v>492</v>
      </c>
      <c r="C339" s="14" t="s">
        <v>503</v>
      </c>
      <c r="D339" s="15" t="n">
        <v>41</v>
      </c>
      <c r="E339" s="16" t="n">
        <v>49</v>
      </c>
      <c r="F339" s="13" t="s">
        <v>46</v>
      </c>
      <c r="G339" s="15" t="n">
        <v>1</v>
      </c>
      <c r="H339" s="5" t="str">
        <f aca="false">SUBSTITUTE(A339,"MS","",1)</f>
        <v>54084</v>
      </c>
      <c r="I339" s="5" t="str">
        <f aca="false">VLOOKUP(F339,O:P,2,FALSE())</f>
        <v>Chaussures Alpin </v>
      </c>
      <c r="J339" s="5" t="str">
        <f aca="false">CONCATENATE(B339," ",C339)</f>
        <v>lange lx</v>
      </c>
      <c r="K339" s="5" t="str">
        <f aca="false">IF(D339&lt;80,VLOOKUP(D339,R:S,2,FALSE()),CONCATENATE(D339," cm"))</f>
        <v>41 (EU) / 26 (MP)</v>
      </c>
      <c r="L339" s="17" t="n">
        <f aca="false">E339</f>
        <v>49</v>
      </c>
    </row>
    <row r="340" customFormat="false" ht="15" hidden="false" customHeight="false" outlineLevel="0" collapsed="false">
      <c r="A340" s="12" t="s">
        <v>541</v>
      </c>
      <c r="B340" s="13" t="s">
        <v>444</v>
      </c>
      <c r="C340" s="14" t="s">
        <v>542</v>
      </c>
      <c r="D340" s="15" t="n">
        <v>41</v>
      </c>
      <c r="E340" s="16" t="n">
        <v>55</v>
      </c>
      <c r="F340" s="13" t="s">
        <v>46</v>
      </c>
      <c r="G340" s="15" t="n">
        <v>1</v>
      </c>
      <c r="H340" s="5" t="str">
        <f aca="false">SUBSTITUTE(A340,"MS","",1)</f>
        <v>54085</v>
      </c>
      <c r="I340" s="5" t="str">
        <f aca="false">VLOOKUP(F340,O:P,2,FALSE())</f>
        <v>Chaussures Alpin </v>
      </c>
      <c r="J340" s="5" t="str">
        <f aca="false">CONCATENATE(B340," ",C340)</f>
        <v>salomon acces</v>
      </c>
      <c r="K340" s="5" t="str">
        <f aca="false">IF(D340&lt;80,VLOOKUP(D340,R:S,2,FALSE()),CONCATENATE(D340," cm"))</f>
        <v>41 (EU) / 26 (MP)</v>
      </c>
      <c r="L340" s="17" t="n">
        <f aca="false">E340</f>
        <v>55</v>
      </c>
    </row>
    <row r="341" customFormat="false" ht="15" hidden="false" customHeight="false" outlineLevel="0" collapsed="false">
      <c r="A341" s="12" t="s">
        <v>543</v>
      </c>
      <c r="B341" s="13" t="s">
        <v>505</v>
      </c>
      <c r="C341" s="14" t="s">
        <v>483</v>
      </c>
      <c r="D341" s="15" t="n">
        <v>40</v>
      </c>
      <c r="E341" s="16" t="n">
        <v>55</v>
      </c>
      <c r="F341" s="13" t="s">
        <v>46</v>
      </c>
      <c r="G341" s="15" t="n">
        <v>1</v>
      </c>
      <c r="H341" s="5" t="str">
        <f aca="false">SUBSTITUTE(A341,"MS","",1)</f>
        <v>54086</v>
      </c>
      <c r="I341" s="5" t="str">
        <f aca="false">VLOOKUP(F341,O:P,2,FALSE())</f>
        <v>Chaussures Alpin </v>
      </c>
      <c r="J341" s="5" t="str">
        <f aca="false">CONCATENATE(B341," ",C341)</f>
        <v>tecnica mach</v>
      </c>
      <c r="K341" s="5" t="str">
        <f aca="false">IF(D341&lt;80,VLOOKUP(D341,R:S,2,FALSE()),CONCATENATE(D341," cm"))</f>
        <v>40 (EU) / 25 (MP)</v>
      </c>
      <c r="L341" s="17" t="n">
        <f aca="false">E341</f>
        <v>55</v>
      </c>
    </row>
    <row r="342" customFormat="false" ht="15" hidden="false" customHeight="false" outlineLevel="0" collapsed="false">
      <c r="A342" s="12" t="s">
        <v>544</v>
      </c>
      <c r="B342" s="13" t="s">
        <v>368</v>
      </c>
      <c r="C342" s="14" t="s">
        <v>512</v>
      </c>
      <c r="D342" s="15" t="n">
        <v>41</v>
      </c>
      <c r="E342" s="16" t="n">
        <v>55</v>
      </c>
      <c r="F342" s="13" t="s">
        <v>46</v>
      </c>
      <c r="G342" s="15" t="n">
        <v>1</v>
      </c>
      <c r="H342" s="5" t="str">
        <f aca="false">SUBSTITUTE(A342,"MS","",1)</f>
        <v>54087</v>
      </c>
      <c r="I342" s="5" t="str">
        <f aca="false">VLOOKUP(F342,O:P,2,FALSE())</f>
        <v>Chaussures Alpin </v>
      </c>
      <c r="J342" s="5" t="str">
        <f aca="false">CONCATENATE(B342," ",C342)</f>
        <v>rossignol alltrack</v>
      </c>
      <c r="K342" s="5" t="str">
        <f aca="false">IF(D342&lt;80,VLOOKUP(D342,R:S,2,FALSE()),CONCATENATE(D342," cm"))</f>
        <v>41 (EU) / 26 (MP)</v>
      </c>
      <c r="L342" s="17" t="n">
        <f aca="false">E342</f>
        <v>55</v>
      </c>
    </row>
    <row r="343" customFormat="false" ht="15" hidden="false" customHeight="false" outlineLevel="0" collapsed="false">
      <c r="A343" s="12" t="s">
        <v>545</v>
      </c>
      <c r="B343" s="13" t="s">
        <v>191</v>
      </c>
      <c r="C343" s="14" t="s">
        <v>489</v>
      </c>
      <c r="D343" s="15" t="n">
        <v>41</v>
      </c>
      <c r="E343" s="16" t="n">
        <v>49</v>
      </c>
      <c r="F343" s="13" t="s">
        <v>46</v>
      </c>
      <c r="G343" s="15" t="n">
        <v>1</v>
      </c>
      <c r="H343" s="5" t="str">
        <f aca="false">SUBSTITUTE(A343,"MS","",1)</f>
        <v>54088</v>
      </c>
      <c r="I343" s="5" t="str">
        <f aca="false">VLOOKUP(F343,O:P,2,FALSE())</f>
        <v>Chaussures Alpin </v>
      </c>
      <c r="J343" s="5" t="str">
        <f aca="false">CONCATENATE(B343," ",C343)</f>
        <v>atomic hawks</v>
      </c>
      <c r="K343" s="5" t="str">
        <f aca="false">IF(D343&lt;80,VLOOKUP(D343,R:S,2,FALSE()),CONCATENATE(D343," cm"))</f>
        <v>41 (EU) / 26 (MP)</v>
      </c>
      <c r="L343" s="17" t="n">
        <f aca="false">E343</f>
        <v>49</v>
      </c>
    </row>
    <row r="344" customFormat="false" ht="15" hidden="false" customHeight="false" outlineLevel="0" collapsed="false">
      <c r="A344" s="12" t="s">
        <v>546</v>
      </c>
      <c r="B344" s="13" t="s">
        <v>515</v>
      </c>
      <c r="C344" s="14" t="s">
        <v>547</v>
      </c>
      <c r="D344" s="15" t="n">
        <v>41</v>
      </c>
      <c r="E344" s="16" t="n">
        <v>49</v>
      </c>
      <c r="F344" s="13" t="s">
        <v>46</v>
      </c>
      <c r="G344" s="15" t="n">
        <v>1</v>
      </c>
      <c r="H344" s="5" t="str">
        <f aca="false">SUBSTITUTE(A344,"MS","",1)</f>
        <v>54089</v>
      </c>
      <c r="I344" s="5" t="str">
        <f aca="false">VLOOKUP(F344,O:P,2,FALSE())</f>
        <v>Chaussures Alpin </v>
      </c>
      <c r="J344" s="5" t="str">
        <f aca="false">CONCATENATE(B344," ",C344)</f>
        <v>roxa fit</v>
      </c>
      <c r="K344" s="5" t="str">
        <f aca="false">IF(D344&lt;80,VLOOKUP(D344,R:S,2,FALSE()),CONCATENATE(D344," cm"))</f>
        <v>41 (EU) / 26 (MP)</v>
      </c>
      <c r="L344" s="17" t="n">
        <f aca="false">E344</f>
        <v>49</v>
      </c>
    </row>
    <row r="345" customFormat="false" ht="15" hidden="false" customHeight="false" outlineLevel="0" collapsed="false">
      <c r="A345" s="12" t="s">
        <v>548</v>
      </c>
      <c r="B345" s="13" t="s">
        <v>505</v>
      </c>
      <c r="C345" s="14" t="s">
        <v>483</v>
      </c>
      <c r="D345" s="15" t="n">
        <v>41</v>
      </c>
      <c r="E345" s="16" t="n">
        <v>55</v>
      </c>
      <c r="F345" s="13" t="s">
        <v>46</v>
      </c>
      <c r="G345" s="15" t="n">
        <v>1</v>
      </c>
      <c r="H345" s="5" t="str">
        <f aca="false">SUBSTITUTE(A345,"MS","",1)</f>
        <v>54090</v>
      </c>
      <c r="I345" s="5" t="str">
        <f aca="false">VLOOKUP(F345,O:P,2,FALSE())</f>
        <v>Chaussures Alpin </v>
      </c>
      <c r="J345" s="5" t="str">
        <f aca="false">CONCATENATE(B345," ",C345)</f>
        <v>tecnica mach</v>
      </c>
      <c r="K345" s="5" t="str">
        <f aca="false">IF(D345&lt;80,VLOOKUP(D345,R:S,2,FALSE()),CONCATENATE(D345," cm"))</f>
        <v>41 (EU) / 26 (MP)</v>
      </c>
      <c r="L345" s="17" t="n">
        <f aca="false">E345</f>
        <v>55</v>
      </c>
    </row>
    <row r="346" customFormat="false" ht="15" hidden="false" customHeight="false" outlineLevel="0" collapsed="false">
      <c r="A346" s="12" t="s">
        <v>549</v>
      </c>
      <c r="B346" s="13" t="s">
        <v>505</v>
      </c>
      <c r="C346" s="14" t="s">
        <v>483</v>
      </c>
      <c r="D346" s="15" t="n">
        <v>40</v>
      </c>
      <c r="E346" s="16" t="n">
        <v>55</v>
      </c>
      <c r="F346" s="13" t="s">
        <v>46</v>
      </c>
      <c r="G346" s="15" t="n">
        <v>1</v>
      </c>
      <c r="H346" s="5" t="str">
        <f aca="false">SUBSTITUTE(A346,"MS","",1)</f>
        <v>54091</v>
      </c>
      <c r="I346" s="5" t="str">
        <f aca="false">VLOOKUP(F346,O:P,2,FALSE())</f>
        <v>Chaussures Alpin </v>
      </c>
      <c r="J346" s="5" t="str">
        <f aca="false">CONCATENATE(B346," ",C346)</f>
        <v>tecnica mach</v>
      </c>
      <c r="K346" s="5" t="str">
        <f aca="false">IF(D346&lt;80,VLOOKUP(D346,R:S,2,FALSE()),CONCATENATE(D346," cm"))</f>
        <v>40 (EU) / 25 (MP)</v>
      </c>
      <c r="L346" s="17" t="n">
        <f aca="false">E346</f>
        <v>55</v>
      </c>
    </row>
    <row r="347" customFormat="false" ht="15" hidden="false" customHeight="false" outlineLevel="0" collapsed="false">
      <c r="A347" s="12" t="s">
        <v>550</v>
      </c>
      <c r="B347" s="13" t="s">
        <v>358</v>
      </c>
      <c r="C347" s="14" t="s">
        <v>496</v>
      </c>
      <c r="D347" s="15" t="n">
        <v>41</v>
      </c>
      <c r="E347" s="16" t="n">
        <v>55</v>
      </c>
      <c r="F347" s="13" t="s">
        <v>46</v>
      </c>
      <c r="G347" s="15" t="n">
        <v>1</v>
      </c>
      <c r="H347" s="5" t="str">
        <f aca="false">SUBSTITUTE(A347,"MS","",1)</f>
        <v>54092</v>
      </c>
      <c r="I347" s="5" t="str">
        <f aca="false">VLOOKUP(F347,O:P,2,FALSE())</f>
        <v>Chaussures Alpin </v>
      </c>
      <c r="J347" s="5" t="str">
        <f aca="false">CONCATENATE(B347," ",C347)</f>
        <v>nordica sport</v>
      </c>
      <c r="K347" s="5" t="str">
        <f aca="false">IF(D347&lt;80,VLOOKUP(D347,R:S,2,FALSE()),CONCATENATE(D347," cm"))</f>
        <v>41 (EU) / 26 (MP)</v>
      </c>
      <c r="L347" s="17" t="n">
        <f aca="false">E347</f>
        <v>55</v>
      </c>
    </row>
    <row r="348" customFormat="false" ht="15" hidden="false" customHeight="false" outlineLevel="0" collapsed="false">
      <c r="A348" s="12" t="s">
        <v>551</v>
      </c>
      <c r="B348" s="13" t="s">
        <v>368</v>
      </c>
      <c r="C348" s="14" t="s">
        <v>512</v>
      </c>
      <c r="D348" s="15" t="n">
        <v>41</v>
      </c>
      <c r="E348" s="16" t="n">
        <v>49</v>
      </c>
      <c r="F348" s="13" t="s">
        <v>46</v>
      </c>
      <c r="G348" s="15" t="n">
        <v>1</v>
      </c>
      <c r="H348" s="5" t="str">
        <f aca="false">SUBSTITUTE(A348,"MS","",1)</f>
        <v>54093</v>
      </c>
      <c r="I348" s="5" t="str">
        <f aca="false">VLOOKUP(F348,O:P,2,FALSE())</f>
        <v>Chaussures Alpin </v>
      </c>
      <c r="J348" s="5" t="str">
        <f aca="false">CONCATENATE(B348," ",C348)</f>
        <v>rossignol alltrack</v>
      </c>
      <c r="K348" s="5" t="str">
        <f aca="false">IF(D348&lt;80,VLOOKUP(D348,R:S,2,FALSE()),CONCATENATE(D348," cm"))</f>
        <v>41 (EU) / 26 (MP)</v>
      </c>
      <c r="L348" s="17" t="n">
        <f aca="false">E348</f>
        <v>49</v>
      </c>
    </row>
    <row r="349" customFormat="false" ht="15" hidden="false" customHeight="false" outlineLevel="0" collapsed="false">
      <c r="A349" s="12" t="s">
        <v>552</v>
      </c>
      <c r="B349" s="13" t="s">
        <v>499</v>
      </c>
      <c r="C349" s="14" t="s">
        <v>496</v>
      </c>
      <c r="D349" s="15" t="n">
        <v>41</v>
      </c>
      <c r="E349" s="16" t="n">
        <v>55</v>
      </c>
      <c r="F349" s="13" t="s">
        <v>46</v>
      </c>
      <c r="G349" s="15" t="n">
        <v>1</v>
      </c>
      <c r="H349" s="5" t="str">
        <f aca="false">SUBSTITUTE(A349,"MS","",1)</f>
        <v>54094</v>
      </c>
      <c r="I349" s="5" t="str">
        <f aca="false">VLOOKUP(F349,O:P,2,FALSE())</f>
        <v>Chaussures Alpin </v>
      </c>
      <c r="J349" s="5" t="str">
        <f aca="false">CONCATENATE(B349," ",C349)</f>
        <v>dalbello sport</v>
      </c>
      <c r="K349" s="5" t="str">
        <f aca="false">IF(D349&lt;80,VLOOKUP(D349,R:S,2,FALSE()),CONCATENATE(D349," cm"))</f>
        <v>41 (EU) / 26 (MP)</v>
      </c>
      <c r="L349" s="17" t="n">
        <f aca="false">E349</f>
        <v>55</v>
      </c>
    </row>
    <row r="350" customFormat="false" ht="15" hidden="false" customHeight="false" outlineLevel="0" collapsed="false">
      <c r="A350" s="12" t="s">
        <v>553</v>
      </c>
      <c r="B350" s="13" t="s">
        <v>358</v>
      </c>
      <c r="C350" s="14" t="s">
        <v>496</v>
      </c>
      <c r="D350" s="15" t="n">
        <v>41</v>
      </c>
      <c r="E350" s="16" t="n">
        <v>55</v>
      </c>
      <c r="F350" s="13" t="s">
        <v>46</v>
      </c>
      <c r="G350" s="15" t="n">
        <v>1</v>
      </c>
      <c r="H350" s="5" t="str">
        <f aca="false">SUBSTITUTE(A350,"MS","",1)</f>
        <v>54095</v>
      </c>
      <c r="I350" s="5" t="str">
        <f aca="false">VLOOKUP(F350,O:P,2,FALSE())</f>
        <v>Chaussures Alpin </v>
      </c>
      <c r="J350" s="5" t="str">
        <f aca="false">CONCATENATE(B350," ",C350)</f>
        <v>nordica sport</v>
      </c>
      <c r="K350" s="5" t="str">
        <f aca="false">IF(D350&lt;80,VLOOKUP(D350,R:S,2,FALSE()),CONCATENATE(D350," cm"))</f>
        <v>41 (EU) / 26 (MP)</v>
      </c>
      <c r="L350" s="17" t="n">
        <f aca="false">E350</f>
        <v>55</v>
      </c>
    </row>
    <row r="351" customFormat="false" ht="15" hidden="false" customHeight="false" outlineLevel="0" collapsed="false">
      <c r="A351" s="12" t="s">
        <v>554</v>
      </c>
      <c r="B351" s="13" t="s">
        <v>492</v>
      </c>
      <c r="C351" s="14" t="s">
        <v>508</v>
      </c>
      <c r="D351" s="15" t="n">
        <v>41</v>
      </c>
      <c r="E351" s="16" t="n">
        <v>49</v>
      </c>
      <c r="F351" s="13" t="s">
        <v>46</v>
      </c>
      <c r="G351" s="15" t="n">
        <v>1</v>
      </c>
      <c r="H351" s="5" t="str">
        <f aca="false">SUBSTITUTE(A351,"MS","",1)</f>
        <v>54096</v>
      </c>
      <c r="I351" s="5" t="str">
        <f aca="false">VLOOKUP(F351,O:P,2,FALSE())</f>
        <v>Chaussures Alpin </v>
      </c>
      <c r="J351" s="5" t="str">
        <f aca="false">CONCATENATE(B351," ",C351)</f>
        <v>lange rx</v>
      </c>
      <c r="K351" s="5" t="str">
        <f aca="false">IF(D351&lt;80,VLOOKUP(D351,R:S,2,FALSE()),CONCATENATE(D351," cm"))</f>
        <v>41 (EU) / 26 (MP)</v>
      </c>
      <c r="L351" s="17" t="n">
        <f aca="false">E351</f>
        <v>49</v>
      </c>
    </row>
    <row r="352" customFormat="false" ht="15" hidden="false" customHeight="false" outlineLevel="0" collapsed="false">
      <c r="A352" s="12" t="s">
        <v>555</v>
      </c>
      <c r="B352" s="13" t="s">
        <v>499</v>
      </c>
      <c r="C352" s="14" t="s">
        <v>556</v>
      </c>
      <c r="D352" s="15" t="n">
        <v>41</v>
      </c>
      <c r="E352" s="16" t="n">
        <v>55</v>
      </c>
      <c r="F352" s="13" t="s">
        <v>46</v>
      </c>
      <c r="G352" s="15" t="n">
        <v>1</v>
      </c>
      <c r="H352" s="5" t="str">
        <f aca="false">SUBSTITUTE(A352,"MS","",1)</f>
        <v>54097</v>
      </c>
      <c r="I352" s="5" t="str">
        <f aca="false">VLOOKUP(F352,O:P,2,FALSE())</f>
        <v>Chaussures Alpin </v>
      </c>
      <c r="J352" s="5" t="str">
        <f aca="false">CONCATENATE(B352," ",C352)</f>
        <v>dalbello ltd</v>
      </c>
      <c r="K352" s="5" t="str">
        <f aca="false">IF(D352&lt;80,VLOOKUP(D352,R:S,2,FALSE()),CONCATENATE(D352," cm"))</f>
        <v>41 (EU) / 26 (MP)</v>
      </c>
      <c r="L352" s="17" t="n">
        <f aca="false">E352</f>
        <v>55</v>
      </c>
    </row>
    <row r="353" customFormat="false" ht="15" hidden="false" customHeight="false" outlineLevel="0" collapsed="false">
      <c r="A353" s="12" t="s">
        <v>557</v>
      </c>
      <c r="B353" s="13" t="s">
        <v>492</v>
      </c>
      <c r="C353" s="14" t="s">
        <v>503</v>
      </c>
      <c r="D353" s="15" t="n">
        <v>40</v>
      </c>
      <c r="E353" s="16" t="n">
        <v>49</v>
      </c>
      <c r="F353" s="13" t="s">
        <v>46</v>
      </c>
      <c r="G353" s="15" t="n">
        <v>1</v>
      </c>
      <c r="H353" s="5" t="str">
        <f aca="false">SUBSTITUTE(A353,"MS","",1)</f>
        <v>54098</v>
      </c>
      <c r="I353" s="5" t="str">
        <f aca="false">VLOOKUP(F353,O:P,2,FALSE())</f>
        <v>Chaussures Alpin </v>
      </c>
      <c r="J353" s="5" t="str">
        <f aca="false">CONCATENATE(B353," ",C353)</f>
        <v>lange lx</v>
      </c>
      <c r="K353" s="5" t="str">
        <f aca="false">IF(D353&lt;80,VLOOKUP(D353,R:S,2,FALSE()),CONCATENATE(D353," cm"))</f>
        <v>40 (EU) / 25 (MP)</v>
      </c>
      <c r="L353" s="17" t="n">
        <f aca="false">E353</f>
        <v>49</v>
      </c>
    </row>
    <row r="354" customFormat="false" ht="15" hidden="false" customHeight="false" outlineLevel="0" collapsed="false">
      <c r="A354" s="12" t="s">
        <v>558</v>
      </c>
      <c r="B354" s="13" t="s">
        <v>505</v>
      </c>
      <c r="C354" s="14" t="s">
        <v>483</v>
      </c>
      <c r="D354" s="15" t="n">
        <v>40</v>
      </c>
      <c r="E354" s="16" t="n">
        <v>55</v>
      </c>
      <c r="F354" s="13" t="s">
        <v>46</v>
      </c>
      <c r="G354" s="15" t="n">
        <v>1</v>
      </c>
      <c r="H354" s="5" t="str">
        <f aca="false">SUBSTITUTE(A354,"MS","",1)</f>
        <v>54099</v>
      </c>
      <c r="I354" s="5" t="str">
        <f aca="false">VLOOKUP(F354,O:P,2,FALSE())</f>
        <v>Chaussures Alpin </v>
      </c>
      <c r="J354" s="5" t="str">
        <f aca="false">CONCATENATE(B354," ",C354)</f>
        <v>tecnica mach</v>
      </c>
      <c r="K354" s="5" t="str">
        <f aca="false">IF(D354&lt;80,VLOOKUP(D354,R:S,2,FALSE()),CONCATENATE(D354," cm"))</f>
        <v>40 (EU) / 25 (MP)</v>
      </c>
      <c r="L354" s="17" t="n">
        <f aca="false">E354</f>
        <v>55</v>
      </c>
    </row>
    <row r="355" customFormat="false" ht="15" hidden="false" customHeight="false" outlineLevel="0" collapsed="false">
      <c r="A355" s="12" t="s">
        <v>559</v>
      </c>
      <c r="B355" s="13" t="s">
        <v>191</v>
      </c>
      <c r="C355" s="14" t="s">
        <v>489</v>
      </c>
      <c r="D355" s="15" t="n">
        <v>40</v>
      </c>
      <c r="E355" s="16" t="n">
        <v>55</v>
      </c>
      <c r="F355" s="13" t="s">
        <v>46</v>
      </c>
      <c r="G355" s="15" t="n">
        <v>1</v>
      </c>
      <c r="H355" s="5" t="str">
        <f aca="false">SUBSTITUTE(A355,"MS","",1)</f>
        <v>54100</v>
      </c>
      <c r="I355" s="5" t="str">
        <f aca="false">VLOOKUP(F355,O:P,2,FALSE())</f>
        <v>Chaussures Alpin </v>
      </c>
      <c r="J355" s="5" t="str">
        <f aca="false">CONCATENATE(B355," ",C355)</f>
        <v>atomic hawks</v>
      </c>
      <c r="K355" s="5" t="str">
        <f aca="false">IF(D355&lt;80,VLOOKUP(D355,R:S,2,FALSE()),CONCATENATE(D355," cm"))</f>
        <v>40 (EU) / 25 (MP)</v>
      </c>
      <c r="L355" s="17" t="n">
        <f aca="false">E355</f>
        <v>55</v>
      </c>
    </row>
    <row r="356" customFormat="false" ht="15" hidden="false" customHeight="false" outlineLevel="0" collapsed="false">
      <c r="A356" s="12" t="s">
        <v>560</v>
      </c>
      <c r="B356" s="13" t="s">
        <v>368</v>
      </c>
      <c r="C356" s="14" t="s">
        <v>512</v>
      </c>
      <c r="D356" s="15" t="n">
        <v>40</v>
      </c>
      <c r="E356" s="16" t="n">
        <v>59</v>
      </c>
      <c r="F356" s="13" t="s">
        <v>46</v>
      </c>
      <c r="G356" s="15" t="n">
        <v>1</v>
      </c>
      <c r="H356" s="5" t="str">
        <f aca="false">SUBSTITUTE(A356,"MS","",1)</f>
        <v>54101</v>
      </c>
      <c r="I356" s="5" t="str">
        <f aca="false">VLOOKUP(F356,O:P,2,FALSE())</f>
        <v>Chaussures Alpin </v>
      </c>
      <c r="J356" s="5" t="str">
        <f aca="false">CONCATENATE(B356," ",C356)</f>
        <v>rossignol alltrack</v>
      </c>
      <c r="K356" s="5" t="str">
        <f aca="false">IF(D356&lt;80,VLOOKUP(D356,R:S,2,FALSE()),CONCATENATE(D356," cm"))</f>
        <v>40 (EU) / 25 (MP)</v>
      </c>
      <c r="L356" s="17" t="n">
        <f aca="false">E356</f>
        <v>59</v>
      </c>
    </row>
    <row r="357" customFormat="false" ht="15" hidden="false" customHeight="false" outlineLevel="0" collapsed="false">
      <c r="A357" s="12" t="s">
        <v>561</v>
      </c>
      <c r="B357" s="13" t="s">
        <v>499</v>
      </c>
      <c r="C357" s="14" t="s">
        <v>562</v>
      </c>
      <c r="D357" s="15" t="n">
        <v>41</v>
      </c>
      <c r="E357" s="16" t="n">
        <v>59</v>
      </c>
      <c r="F357" s="13" t="s">
        <v>46</v>
      </c>
      <c r="G357" s="15" t="n">
        <v>1</v>
      </c>
      <c r="H357" s="5" t="str">
        <f aca="false">SUBSTITUTE(A357,"MS","",1)</f>
        <v>54102</v>
      </c>
      <c r="I357" s="5" t="str">
        <f aca="false">VLOOKUP(F357,O:P,2,FALSE())</f>
        <v>Chaussures Alpin </v>
      </c>
      <c r="J357" s="5" t="str">
        <f aca="false">CONCATENATE(B357," ",C357)</f>
        <v>dalbello viper</v>
      </c>
      <c r="K357" s="5" t="str">
        <f aca="false">IF(D357&lt;80,VLOOKUP(D357,R:S,2,FALSE()),CONCATENATE(D357," cm"))</f>
        <v>41 (EU) / 26 (MP)</v>
      </c>
      <c r="L357" s="17" t="n">
        <f aca="false">E357</f>
        <v>59</v>
      </c>
    </row>
    <row r="358" customFormat="false" ht="15" hidden="false" customHeight="false" outlineLevel="0" collapsed="false">
      <c r="A358" s="12" t="s">
        <v>563</v>
      </c>
      <c r="B358" s="13" t="s">
        <v>505</v>
      </c>
      <c r="C358" s="14" t="s">
        <v>483</v>
      </c>
      <c r="D358" s="15" t="n">
        <v>40</v>
      </c>
      <c r="E358" s="16" t="n">
        <v>55</v>
      </c>
      <c r="F358" s="13" t="s">
        <v>46</v>
      </c>
      <c r="G358" s="15" t="n">
        <v>1</v>
      </c>
      <c r="H358" s="5" t="str">
        <f aca="false">SUBSTITUTE(A358,"MS","",1)</f>
        <v>54103</v>
      </c>
      <c r="I358" s="5" t="str">
        <f aca="false">VLOOKUP(F358,O:P,2,FALSE())</f>
        <v>Chaussures Alpin </v>
      </c>
      <c r="J358" s="5" t="str">
        <f aca="false">CONCATENATE(B358," ",C358)</f>
        <v>tecnica mach</v>
      </c>
      <c r="K358" s="5" t="str">
        <f aca="false">IF(D358&lt;80,VLOOKUP(D358,R:S,2,FALSE()),CONCATENATE(D358," cm"))</f>
        <v>40 (EU) / 25 (MP)</v>
      </c>
      <c r="L358" s="17" t="n">
        <f aca="false">E358</f>
        <v>55</v>
      </c>
    </row>
    <row r="359" customFormat="false" ht="15" hidden="false" customHeight="false" outlineLevel="0" collapsed="false">
      <c r="A359" s="12" t="s">
        <v>564</v>
      </c>
      <c r="B359" s="13" t="s">
        <v>505</v>
      </c>
      <c r="C359" s="14" t="s">
        <v>483</v>
      </c>
      <c r="D359" s="15" t="n">
        <v>43</v>
      </c>
      <c r="E359" s="16" t="n">
        <v>59</v>
      </c>
      <c r="F359" s="13" t="s">
        <v>46</v>
      </c>
      <c r="G359" s="15" t="n">
        <v>1</v>
      </c>
      <c r="H359" s="5" t="str">
        <f aca="false">SUBSTITUTE(A359,"MS","",1)</f>
        <v>54104</v>
      </c>
      <c r="I359" s="5" t="str">
        <f aca="false">VLOOKUP(F359,O:P,2,FALSE())</f>
        <v>Chaussures Alpin </v>
      </c>
      <c r="J359" s="5" t="str">
        <f aca="false">CONCATENATE(B359," ",C359)</f>
        <v>tecnica mach</v>
      </c>
      <c r="K359" s="5" t="str">
        <f aca="false">IF(D359&lt;80,VLOOKUP(D359,R:S,2,FALSE()),CONCATENATE(D359," cm"))</f>
        <v>43 (EU) / 27 (MP)</v>
      </c>
      <c r="L359" s="17" t="n">
        <f aca="false">E359</f>
        <v>59</v>
      </c>
    </row>
    <row r="360" customFormat="false" ht="15" hidden="false" customHeight="false" outlineLevel="0" collapsed="false">
      <c r="A360" s="12" t="s">
        <v>565</v>
      </c>
      <c r="B360" s="13" t="s">
        <v>368</v>
      </c>
      <c r="C360" s="14" t="s">
        <v>512</v>
      </c>
      <c r="D360" s="15" t="n">
        <v>42</v>
      </c>
      <c r="E360" s="16" t="n">
        <v>55</v>
      </c>
      <c r="F360" s="13" t="s">
        <v>46</v>
      </c>
      <c r="G360" s="15" t="n">
        <v>1</v>
      </c>
      <c r="H360" s="5" t="str">
        <f aca="false">SUBSTITUTE(A360,"MS","",1)</f>
        <v>54105</v>
      </c>
      <c r="I360" s="5" t="str">
        <f aca="false">VLOOKUP(F360,O:P,2,FALSE())</f>
        <v>Chaussures Alpin </v>
      </c>
      <c r="J360" s="5" t="str">
        <f aca="false">CONCATENATE(B360," ",C360)</f>
        <v>rossignol alltrack</v>
      </c>
      <c r="K360" s="5" t="str">
        <f aca="false">IF(D360&lt;80,VLOOKUP(D360,R:S,2,FALSE()),CONCATENATE(D360," cm"))</f>
        <v>42 (EU) / 26 (MP)</v>
      </c>
      <c r="L360" s="17" t="n">
        <f aca="false">E360</f>
        <v>55</v>
      </c>
    </row>
    <row r="361" customFormat="false" ht="15" hidden="false" customHeight="false" outlineLevel="0" collapsed="false">
      <c r="A361" s="12" t="s">
        <v>566</v>
      </c>
      <c r="B361" s="13" t="s">
        <v>368</v>
      </c>
      <c r="C361" s="14" t="s">
        <v>512</v>
      </c>
      <c r="D361" s="15" t="n">
        <v>43</v>
      </c>
      <c r="E361" s="16" t="n">
        <v>55</v>
      </c>
      <c r="F361" s="13" t="s">
        <v>46</v>
      </c>
      <c r="G361" s="15" t="n">
        <v>1</v>
      </c>
      <c r="H361" s="5" t="str">
        <f aca="false">SUBSTITUTE(A361,"MS","",1)</f>
        <v>54106</v>
      </c>
      <c r="I361" s="5" t="str">
        <f aca="false">VLOOKUP(F361,O:P,2,FALSE())</f>
        <v>Chaussures Alpin </v>
      </c>
      <c r="J361" s="5" t="str">
        <f aca="false">CONCATENATE(B361," ",C361)</f>
        <v>rossignol alltrack</v>
      </c>
      <c r="K361" s="5" t="str">
        <f aca="false">IF(D361&lt;80,VLOOKUP(D361,R:S,2,FALSE()),CONCATENATE(D361," cm"))</f>
        <v>43 (EU) / 27 (MP)</v>
      </c>
      <c r="L361" s="17" t="n">
        <f aca="false">E361</f>
        <v>55</v>
      </c>
    </row>
    <row r="362" customFormat="false" ht="15" hidden="false" customHeight="false" outlineLevel="0" collapsed="false">
      <c r="A362" s="12" t="s">
        <v>567</v>
      </c>
      <c r="B362" s="13" t="s">
        <v>358</v>
      </c>
      <c r="C362" s="14" t="s">
        <v>496</v>
      </c>
      <c r="D362" s="15" t="n">
        <v>43</v>
      </c>
      <c r="E362" s="16" t="n">
        <v>55</v>
      </c>
      <c r="F362" s="13" t="s">
        <v>46</v>
      </c>
      <c r="G362" s="15" t="n">
        <v>1</v>
      </c>
      <c r="H362" s="5" t="str">
        <f aca="false">SUBSTITUTE(A362,"MS","",1)</f>
        <v>54107</v>
      </c>
      <c r="I362" s="5" t="str">
        <f aca="false">VLOOKUP(F362,O:P,2,FALSE())</f>
        <v>Chaussures Alpin </v>
      </c>
      <c r="J362" s="5" t="str">
        <f aca="false">CONCATENATE(B362," ",C362)</f>
        <v>nordica sport</v>
      </c>
      <c r="K362" s="5" t="str">
        <f aca="false">IF(D362&lt;80,VLOOKUP(D362,R:S,2,FALSE()),CONCATENATE(D362," cm"))</f>
        <v>43 (EU) / 27 (MP)</v>
      </c>
      <c r="L362" s="17" t="n">
        <f aca="false">E362</f>
        <v>55</v>
      </c>
    </row>
    <row r="363" customFormat="false" ht="15" hidden="false" customHeight="false" outlineLevel="0" collapsed="false">
      <c r="A363" s="12" t="s">
        <v>568</v>
      </c>
      <c r="B363" s="13" t="s">
        <v>191</v>
      </c>
      <c r="C363" s="14" t="s">
        <v>489</v>
      </c>
      <c r="D363" s="15" t="n">
        <v>42</v>
      </c>
      <c r="E363" s="16" t="n">
        <v>45</v>
      </c>
      <c r="F363" s="13" t="s">
        <v>46</v>
      </c>
      <c r="G363" s="15" t="n">
        <v>1</v>
      </c>
      <c r="H363" s="5" t="str">
        <f aca="false">SUBSTITUTE(A363,"MS","",1)</f>
        <v>54108</v>
      </c>
      <c r="I363" s="5" t="str">
        <f aca="false">VLOOKUP(F363,O:P,2,FALSE())</f>
        <v>Chaussures Alpin </v>
      </c>
      <c r="J363" s="5" t="str">
        <f aca="false">CONCATENATE(B363," ",C363)</f>
        <v>atomic hawks</v>
      </c>
      <c r="K363" s="5" t="str">
        <f aca="false">IF(D363&lt;80,VLOOKUP(D363,R:S,2,FALSE()),CONCATENATE(D363," cm"))</f>
        <v>42 (EU) / 26 (MP)</v>
      </c>
      <c r="L363" s="17" t="n">
        <f aca="false">E363</f>
        <v>45</v>
      </c>
    </row>
    <row r="364" customFormat="false" ht="15" hidden="false" customHeight="false" outlineLevel="0" collapsed="false">
      <c r="A364" s="12" t="s">
        <v>569</v>
      </c>
      <c r="B364" s="13" t="s">
        <v>444</v>
      </c>
      <c r="C364" s="14" t="s">
        <v>570</v>
      </c>
      <c r="D364" s="15" t="n">
        <v>43</v>
      </c>
      <c r="E364" s="16" t="n">
        <v>49</v>
      </c>
      <c r="F364" s="13" t="s">
        <v>46</v>
      </c>
      <c r="G364" s="15" t="n">
        <v>1</v>
      </c>
      <c r="H364" s="5" t="str">
        <f aca="false">SUBSTITUTE(A364,"MS","",1)</f>
        <v>54109</v>
      </c>
      <c r="I364" s="5" t="str">
        <f aca="false">VLOOKUP(F364,O:P,2,FALSE())</f>
        <v>Chaussures Alpin </v>
      </c>
      <c r="J364" s="5" t="str">
        <f aca="false">CONCATENATE(B364," ",C364)</f>
        <v>salomon select</v>
      </c>
      <c r="K364" s="5" t="str">
        <f aca="false">IF(D364&lt;80,VLOOKUP(D364,R:S,2,FALSE()),CONCATENATE(D364," cm"))</f>
        <v>43 (EU) / 27 (MP)</v>
      </c>
      <c r="L364" s="17" t="n">
        <f aca="false">E364</f>
        <v>49</v>
      </c>
    </row>
    <row r="365" customFormat="false" ht="15" hidden="false" customHeight="false" outlineLevel="0" collapsed="false">
      <c r="A365" s="12" t="s">
        <v>571</v>
      </c>
      <c r="B365" s="13" t="s">
        <v>492</v>
      </c>
      <c r="C365" s="14" t="s">
        <v>503</v>
      </c>
      <c r="D365" s="15" t="n">
        <v>43</v>
      </c>
      <c r="E365" s="16" t="n">
        <v>59</v>
      </c>
      <c r="F365" s="13" t="s">
        <v>46</v>
      </c>
      <c r="G365" s="15" t="n">
        <v>1</v>
      </c>
      <c r="H365" s="5" t="str">
        <f aca="false">SUBSTITUTE(A365,"MS","",1)</f>
        <v>54110</v>
      </c>
      <c r="I365" s="5" t="str">
        <f aca="false">VLOOKUP(F365,O:P,2,FALSE())</f>
        <v>Chaussures Alpin </v>
      </c>
      <c r="J365" s="5" t="str">
        <f aca="false">CONCATENATE(B365," ",C365)</f>
        <v>lange lx</v>
      </c>
      <c r="K365" s="5" t="str">
        <f aca="false">IF(D365&lt;80,VLOOKUP(D365,R:S,2,FALSE()),CONCATENATE(D365," cm"))</f>
        <v>43 (EU) / 27 (MP)</v>
      </c>
      <c r="L365" s="17" t="n">
        <f aca="false">E365</f>
        <v>59</v>
      </c>
    </row>
    <row r="366" customFormat="false" ht="15" hidden="false" customHeight="false" outlineLevel="0" collapsed="false">
      <c r="A366" s="12" t="s">
        <v>572</v>
      </c>
      <c r="B366" s="13" t="s">
        <v>191</v>
      </c>
      <c r="C366" s="14" t="s">
        <v>489</v>
      </c>
      <c r="D366" s="15" t="n">
        <v>43</v>
      </c>
      <c r="E366" s="16" t="n">
        <v>55</v>
      </c>
      <c r="F366" s="13" t="s">
        <v>46</v>
      </c>
      <c r="G366" s="15" t="n">
        <v>1</v>
      </c>
      <c r="H366" s="5" t="str">
        <f aca="false">SUBSTITUTE(A366,"MS","",1)</f>
        <v>54111</v>
      </c>
      <c r="I366" s="5" t="str">
        <f aca="false">VLOOKUP(F366,O:P,2,FALSE())</f>
        <v>Chaussures Alpin </v>
      </c>
      <c r="J366" s="5" t="str">
        <f aca="false">CONCATENATE(B366," ",C366)</f>
        <v>atomic hawks</v>
      </c>
      <c r="K366" s="5" t="str">
        <f aca="false">IF(D366&lt;80,VLOOKUP(D366,R:S,2,FALSE()),CONCATENATE(D366," cm"))</f>
        <v>43 (EU) / 27 (MP)</v>
      </c>
      <c r="L366" s="17" t="n">
        <f aca="false">E366</f>
        <v>55</v>
      </c>
    </row>
    <row r="367" customFormat="false" ht="15" hidden="false" customHeight="false" outlineLevel="0" collapsed="false">
      <c r="A367" s="12" t="s">
        <v>573</v>
      </c>
      <c r="B367" s="13" t="s">
        <v>240</v>
      </c>
      <c r="C367" s="14" t="s">
        <v>501</v>
      </c>
      <c r="D367" s="15" t="n">
        <v>43</v>
      </c>
      <c r="E367" s="16" t="n">
        <v>55</v>
      </c>
      <c r="F367" s="13" t="s">
        <v>46</v>
      </c>
      <c r="G367" s="15" t="n">
        <v>1</v>
      </c>
      <c r="H367" s="5" t="str">
        <f aca="false">SUBSTITUTE(A367,"MS","",1)</f>
        <v>54112</v>
      </c>
      <c r="I367" s="5" t="str">
        <f aca="false">VLOOKUP(F367,O:P,2,FALSE())</f>
        <v>Chaussures Alpin </v>
      </c>
      <c r="J367" s="5" t="str">
        <f aca="false">CONCATENATE(B367," ",C367)</f>
        <v>head lyt</v>
      </c>
      <c r="K367" s="5" t="str">
        <f aca="false">IF(D367&lt;80,VLOOKUP(D367,R:S,2,FALSE()),CONCATENATE(D367," cm"))</f>
        <v>43 (EU) / 27 (MP)</v>
      </c>
      <c r="L367" s="17" t="n">
        <f aca="false">E367</f>
        <v>55</v>
      </c>
    </row>
    <row r="368" customFormat="false" ht="15" hidden="false" customHeight="false" outlineLevel="0" collapsed="false">
      <c r="A368" s="12" t="s">
        <v>574</v>
      </c>
      <c r="B368" s="13" t="s">
        <v>191</v>
      </c>
      <c r="C368" s="14" t="s">
        <v>489</v>
      </c>
      <c r="D368" s="15" t="n">
        <v>42</v>
      </c>
      <c r="E368" s="16" t="n">
        <v>55</v>
      </c>
      <c r="F368" s="13" t="s">
        <v>46</v>
      </c>
      <c r="G368" s="15" t="n">
        <v>1</v>
      </c>
      <c r="H368" s="5" t="str">
        <f aca="false">SUBSTITUTE(A368,"MS","",1)</f>
        <v>54113</v>
      </c>
      <c r="I368" s="5" t="str">
        <f aca="false">VLOOKUP(F368,O:P,2,FALSE())</f>
        <v>Chaussures Alpin </v>
      </c>
      <c r="J368" s="5" t="str">
        <f aca="false">CONCATENATE(B368," ",C368)</f>
        <v>atomic hawks</v>
      </c>
      <c r="K368" s="5" t="str">
        <f aca="false">IF(D368&lt;80,VLOOKUP(D368,R:S,2,FALSE()),CONCATENATE(D368," cm"))</f>
        <v>42 (EU) / 26 (MP)</v>
      </c>
      <c r="L368" s="17" t="n">
        <f aca="false">E368</f>
        <v>55</v>
      </c>
    </row>
    <row r="369" customFormat="false" ht="15" hidden="false" customHeight="false" outlineLevel="0" collapsed="false">
      <c r="A369" s="12" t="s">
        <v>575</v>
      </c>
      <c r="B369" s="13" t="s">
        <v>358</v>
      </c>
      <c r="C369" s="14" t="s">
        <v>496</v>
      </c>
      <c r="D369" s="15" t="n">
        <v>43</v>
      </c>
      <c r="E369" s="16" t="n">
        <v>55</v>
      </c>
      <c r="F369" s="13" t="s">
        <v>46</v>
      </c>
      <c r="G369" s="15" t="n">
        <v>1</v>
      </c>
      <c r="H369" s="5" t="str">
        <f aca="false">SUBSTITUTE(A369,"MS","",1)</f>
        <v>54114</v>
      </c>
      <c r="I369" s="5" t="str">
        <f aca="false">VLOOKUP(F369,O:P,2,FALSE())</f>
        <v>Chaussures Alpin </v>
      </c>
      <c r="J369" s="5" t="str">
        <f aca="false">CONCATENATE(B369," ",C369)</f>
        <v>nordica sport</v>
      </c>
      <c r="K369" s="5" t="str">
        <f aca="false">IF(D369&lt;80,VLOOKUP(D369,R:S,2,FALSE()),CONCATENATE(D369," cm"))</f>
        <v>43 (EU) / 27 (MP)</v>
      </c>
      <c r="L369" s="17" t="n">
        <f aca="false">E369</f>
        <v>55</v>
      </c>
    </row>
    <row r="370" customFormat="false" ht="15" hidden="false" customHeight="false" outlineLevel="0" collapsed="false">
      <c r="A370" s="12" t="s">
        <v>576</v>
      </c>
      <c r="B370" s="13" t="s">
        <v>492</v>
      </c>
      <c r="C370" s="14" t="s">
        <v>508</v>
      </c>
      <c r="D370" s="15" t="n">
        <v>39</v>
      </c>
      <c r="E370" s="16" t="n">
        <v>59</v>
      </c>
      <c r="F370" s="13" t="s">
        <v>46</v>
      </c>
      <c r="G370" s="15" t="n">
        <v>1</v>
      </c>
      <c r="H370" s="5" t="str">
        <f aca="false">SUBSTITUTE(A370,"MS","",1)</f>
        <v>54115</v>
      </c>
      <c r="I370" s="5" t="str">
        <f aca="false">VLOOKUP(F370,O:P,2,FALSE())</f>
        <v>Chaussures Alpin </v>
      </c>
      <c r="J370" s="5" t="str">
        <f aca="false">CONCATENATE(B370," ",C370)</f>
        <v>lange rx</v>
      </c>
      <c r="K370" s="5" t="str">
        <f aca="false">IF(D370&lt;80,VLOOKUP(D370,R:S,2,FALSE()),CONCATENATE(D370," cm"))</f>
        <v>39 (EU) / 25 (MP)</v>
      </c>
      <c r="L370" s="17" t="n">
        <f aca="false">E370</f>
        <v>59</v>
      </c>
    </row>
    <row r="371" customFormat="false" ht="15" hidden="false" customHeight="false" outlineLevel="0" collapsed="false">
      <c r="A371" s="12" t="s">
        <v>577</v>
      </c>
      <c r="B371" s="13" t="s">
        <v>444</v>
      </c>
      <c r="C371" s="14" t="s">
        <v>578</v>
      </c>
      <c r="D371" s="15" t="n">
        <v>39</v>
      </c>
      <c r="E371" s="16" t="n">
        <v>59</v>
      </c>
      <c r="F371" s="13" t="s">
        <v>46</v>
      </c>
      <c r="G371" s="15" t="n">
        <v>1</v>
      </c>
      <c r="H371" s="5" t="str">
        <f aca="false">SUBSTITUTE(A371,"MS","",1)</f>
        <v>54116</v>
      </c>
      <c r="I371" s="5" t="str">
        <f aca="false">VLOOKUP(F371,O:P,2,FALSE())</f>
        <v>Chaussures Alpin </v>
      </c>
      <c r="J371" s="5" t="str">
        <f aca="false">CONCATENATE(B371," ",C371)</f>
        <v>salomon access</v>
      </c>
      <c r="K371" s="5" t="str">
        <f aca="false">IF(D371&lt;80,VLOOKUP(D371,R:S,2,FALSE()),CONCATENATE(D371," cm"))</f>
        <v>39 (EU) / 25 (MP)</v>
      </c>
      <c r="L371" s="17" t="n">
        <f aca="false">E371</f>
        <v>59</v>
      </c>
    </row>
    <row r="372" customFormat="false" ht="15" hidden="false" customHeight="false" outlineLevel="0" collapsed="false">
      <c r="A372" s="12" t="s">
        <v>579</v>
      </c>
      <c r="B372" s="13" t="s">
        <v>368</v>
      </c>
      <c r="C372" s="14" t="s">
        <v>580</v>
      </c>
      <c r="D372" s="15" t="n">
        <v>39</v>
      </c>
      <c r="E372" s="16" t="n">
        <v>49</v>
      </c>
      <c r="F372" s="13" t="s">
        <v>46</v>
      </c>
      <c r="G372" s="15" t="n">
        <v>1</v>
      </c>
      <c r="H372" s="5" t="str">
        <f aca="false">SUBSTITUTE(A372,"MS","",1)</f>
        <v>54117</v>
      </c>
      <c r="I372" s="5" t="str">
        <f aca="false">VLOOKUP(F372,O:P,2,FALSE())</f>
        <v>Chaussures Alpin </v>
      </c>
      <c r="J372" s="5" t="str">
        <f aca="false">CONCATENATE(B372," ",C372)</f>
        <v>rossignol pure</v>
      </c>
      <c r="K372" s="5" t="str">
        <f aca="false">IF(D372&lt;80,VLOOKUP(D372,R:S,2,FALSE()),CONCATENATE(D372," cm"))</f>
        <v>39 (EU) / 25 (MP)</v>
      </c>
      <c r="L372" s="17" t="n">
        <f aca="false">E372</f>
        <v>49</v>
      </c>
    </row>
    <row r="373" customFormat="false" ht="15" hidden="false" customHeight="false" outlineLevel="0" collapsed="false">
      <c r="A373" s="12" t="s">
        <v>581</v>
      </c>
      <c r="B373" s="13" t="s">
        <v>492</v>
      </c>
      <c r="C373" s="14" t="s">
        <v>503</v>
      </c>
      <c r="D373" s="15" t="n">
        <v>39</v>
      </c>
      <c r="E373" s="16" t="n">
        <v>49</v>
      </c>
      <c r="F373" s="13" t="s">
        <v>46</v>
      </c>
      <c r="G373" s="15" t="n">
        <v>1</v>
      </c>
      <c r="H373" s="5" t="str">
        <f aca="false">SUBSTITUTE(A373,"MS","",1)</f>
        <v>54118</v>
      </c>
      <c r="I373" s="5" t="str">
        <f aca="false">VLOOKUP(F373,O:P,2,FALSE())</f>
        <v>Chaussures Alpin </v>
      </c>
      <c r="J373" s="5" t="str">
        <f aca="false">CONCATENATE(B373," ",C373)</f>
        <v>lange lx</v>
      </c>
      <c r="K373" s="5" t="str">
        <f aca="false">IF(D373&lt;80,VLOOKUP(D373,R:S,2,FALSE()),CONCATENATE(D373," cm"))</f>
        <v>39 (EU) / 25 (MP)</v>
      </c>
      <c r="L373" s="17" t="n">
        <f aca="false">E373</f>
        <v>49</v>
      </c>
    </row>
    <row r="374" customFormat="false" ht="15" hidden="false" customHeight="false" outlineLevel="0" collapsed="false">
      <c r="A374" s="12" t="s">
        <v>582</v>
      </c>
      <c r="B374" s="13" t="s">
        <v>492</v>
      </c>
      <c r="C374" s="14" t="s">
        <v>493</v>
      </c>
      <c r="D374" s="15" t="n">
        <v>39</v>
      </c>
      <c r="E374" s="16" t="n">
        <v>49</v>
      </c>
      <c r="F374" s="13" t="s">
        <v>46</v>
      </c>
      <c r="G374" s="15" t="n">
        <v>1</v>
      </c>
      <c r="H374" s="5" t="str">
        <f aca="false">SUBSTITUTE(A374,"MS","",1)</f>
        <v>54119</v>
      </c>
      <c r="I374" s="5" t="str">
        <f aca="false">VLOOKUP(F374,O:P,2,FALSE())</f>
        <v>Chaussures Alpin </v>
      </c>
      <c r="J374" s="5" t="str">
        <f aca="false">CONCATENATE(B374," ",C374)</f>
        <v>lange sx</v>
      </c>
      <c r="K374" s="5" t="str">
        <f aca="false">IF(D374&lt;80,VLOOKUP(D374,R:S,2,FALSE()),CONCATENATE(D374," cm"))</f>
        <v>39 (EU) / 25 (MP)</v>
      </c>
      <c r="L374" s="17" t="n">
        <f aca="false">E374</f>
        <v>49</v>
      </c>
    </row>
    <row r="375" customFormat="false" ht="15" hidden="false" customHeight="false" outlineLevel="0" collapsed="false">
      <c r="A375" s="12" t="s">
        <v>583</v>
      </c>
      <c r="B375" s="13" t="s">
        <v>368</v>
      </c>
      <c r="C375" s="14" t="s">
        <v>580</v>
      </c>
      <c r="D375" s="15" t="n">
        <v>39</v>
      </c>
      <c r="E375" s="16" t="n">
        <v>49</v>
      </c>
      <c r="F375" s="13" t="s">
        <v>46</v>
      </c>
      <c r="G375" s="15" t="n">
        <v>1</v>
      </c>
      <c r="H375" s="5" t="str">
        <f aca="false">SUBSTITUTE(A375,"MS","",1)</f>
        <v>54120</v>
      </c>
      <c r="I375" s="5" t="str">
        <f aca="false">VLOOKUP(F375,O:P,2,FALSE())</f>
        <v>Chaussures Alpin </v>
      </c>
      <c r="J375" s="5" t="str">
        <f aca="false">CONCATENATE(B375," ",C375)</f>
        <v>rossignol pure</v>
      </c>
      <c r="K375" s="5" t="str">
        <f aca="false">IF(D375&lt;80,VLOOKUP(D375,R:S,2,FALSE()),CONCATENATE(D375," cm"))</f>
        <v>39 (EU) / 25 (MP)</v>
      </c>
      <c r="L375" s="17" t="n">
        <f aca="false">E375</f>
        <v>49</v>
      </c>
    </row>
    <row r="376" customFormat="false" ht="15" hidden="false" customHeight="false" outlineLevel="0" collapsed="false">
      <c r="A376" s="12" t="s">
        <v>584</v>
      </c>
      <c r="B376" s="13" t="s">
        <v>505</v>
      </c>
      <c r="C376" s="14" t="s">
        <v>483</v>
      </c>
      <c r="D376" s="15" t="n">
        <v>39</v>
      </c>
      <c r="E376" s="16" t="n">
        <v>55</v>
      </c>
      <c r="F376" s="13" t="s">
        <v>46</v>
      </c>
      <c r="G376" s="15" t="n">
        <v>1</v>
      </c>
      <c r="H376" s="5" t="str">
        <f aca="false">SUBSTITUTE(A376,"MS","",1)</f>
        <v>54121</v>
      </c>
      <c r="I376" s="5" t="str">
        <f aca="false">VLOOKUP(F376,O:P,2,FALSE())</f>
        <v>Chaussures Alpin </v>
      </c>
      <c r="J376" s="5" t="str">
        <f aca="false">CONCATENATE(B376," ",C376)</f>
        <v>tecnica mach</v>
      </c>
      <c r="K376" s="5" t="str">
        <f aca="false">IF(D376&lt;80,VLOOKUP(D376,R:S,2,FALSE()),CONCATENATE(D376," cm"))</f>
        <v>39 (EU) / 25 (MP)</v>
      </c>
      <c r="L376" s="17" t="n">
        <f aca="false">E376</f>
        <v>55</v>
      </c>
    </row>
    <row r="377" customFormat="false" ht="15" hidden="false" customHeight="false" outlineLevel="0" collapsed="false">
      <c r="A377" s="12" t="s">
        <v>585</v>
      </c>
      <c r="B377" s="13" t="s">
        <v>444</v>
      </c>
      <c r="C377" s="14" t="s">
        <v>578</v>
      </c>
      <c r="D377" s="15" t="n">
        <v>39</v>
      </c>
      <c r="E377" s="16" t="n">
        <v>49</v>
      </c>
      <c r="F377" s="13" t="s">
        <v>46</v>
      </c>
      <c r="G377" s="15" t="n">
        <v>1</v>
      </c>
      <c r="H377" s="5" t="str">
        <f aca="false">SUBSTITUTE(A377,"MS","",1)</f>
        <v>54122</v>
      </c>
      <c r="I377" s="5" t="str">
        <f aca="false">VLOOKUP(F377,O:P,2,FALSE())</f>
        <v>Chaussures Alpin </v>
      </c>
      <c r="J377" s="5" t="str">
        <f aca="false">CONCATENATE(B377," ",C377)</f>
        <v>salomon access</v>
      </c>
      <c r="K377" s="5" t="str">
        <f aca="false">IF(D377&lt;80,VLOOKUP(D377,R:S,2,FALSE()),CONCATENATE(D377," cm"))</f>
        <v>39 (EU) / 25 (MP)</v>
      </c>
      <c r="L377" s="17" t="n">
        <f aca="false">E377</f>
        <v>49</v>
      </c>
    </row>
    <row r="378" customFormat="false" ht="15" hidden="false" customHeight="false" outlineLevel="0" collapsed="false">
      <c r="A378" s="12" t="s">
        <v>586</v>
      </c>
      <c r="B378" s="13" t="s">
        <v>191</v>
      </c>
      <c r="C378" s="14" t="s">
        <v>587</v>
      </c>
      <c r="D378" s="15" t="n">
        <v>39</v>
      </c>
      <c r="E378" s="16" t="n">
        <v>49</v>
      </c>
      <c r="F378" s="13" t="s">
        <v>46</v>
      </c>
      <c r="G378" s="15" t="n">
        <v>1</v>
      </c>
      <c r="H378" s="5" t="str">
        <f aca="false">SUBSTITUTE(A378,"MS","",1)</f>
        <v>54123</v>
      </c>
      <c r="I378" s="5" t="str">
        <f aca="false">VLOOKUP(F378,O:P,2,FALSE())</f>
        <v>Chaussures Alpin </v>
      </c>
      <c r="J378" s="5" t="str">
        <f aca="false">CONCATENATE(B378," ",C378)</f>
        <v>atomic hawkx</v>
      </c>
      <c r="K378" s="5" t="str">
        <f aca="false">IF(D378&lt;80,VLOOKUP(D378,R:S,2,FALSE()),CONCATENATE(D378," cm"))</f>
        <v>39 (EU) / 25 (MP)</v>
      </c>
      <c r="L378" s="17" t="n">
        <f aca="false">E378</f>
        <v>49</v>
      </c>
    </row>
    <row r="379" customFormat="false" ht="15" hidden="false" customHeight="false" outlineLevel="0" collapsed="false">
      <c r="A379" s="12" t="s">
        <v>588</v>
      </c>
      <c r="B379" s="13" t="s">
        <v>358</v>
      </c>
      <c r="C379" s="14" t="s">
        <v>496</v>
      </c>
      <c r="D379" s="15" t="n">
        <v>39</v>
      </c>
      <c r="E379" s="16" t="n">
        <v>59</v>
      </c>
      <c r="F379" s="13" t="s">
        <v>46</v>
      </c>
      <c r="G379" s="15" t="n">
        <v>1</v>
      </c>
      <c r="H379" s="5" t="str">
        <f aca="false">SUBSTITUTE(A379,"MS","",1)</f>
        <v>54124</v>
      </c>
      <c r="I379" s="5" t="str">
        <f aca="false">VLOOKUP(F379,O:P,2,FALSE())</f>
        <v>Chaussures Alpin </v>
      </c>
      <c r="J379" s="5" t="str">
        <f aca="false">CONCATENATE(B379," ",C379)</f>
        <v>nordica sport</v>
      </c>
      <c r="K379" s="5" t="str">
        <f aca="false">IF(D379&lt;80,VLOOKUP(D379,R:S,2,FALSE()),CONCATENATE(D379," cm"))</f>
        <v>39 (EU) / 25 (MP)</v>
      </c>
      <c r="L379" s="17" t="n">
        <f aca="false">E379</f>
        <v>59</v>
      </c>
    </row>
    <row r="380" customFormat="false" ht="15" hidden="false" customHeight="false" outlineLevel="0" collapsed="false">
      <c r="A380" s="12" t="s">
        <v>589</v>
      </c>
      <c r="B380" s="13" t="s">
        <v>505</v>
      </c>
      <c r="C380" s="14" t="s">
        <v>483</v>
      </c>
      <c r="D380" s="15" t="n">
        <v>39</v>
      </c>
      <c r="E380" s="16" t="n">
        <v>59</v>
      </c>
      <c r="F380" s="13" t="s">
        <v>46</v>
      </c>
      <c r="G380" s="15" t="n">
        <v>1</v>
      </c>
      <c r="H380" s="5" t="str">
        <f aca="false">SUBSTITUTE(A380,"MS","",1)</f>
        <v>54125</v>
      </c>
      <c r="I380" s="5" t="str">
        <f aca="false">VLOOKUP(F380,O:P,2,FALSE())</f>
        <v>Chaussures Alpin </v>
      </c>
      <c r="J380" s="5" t="str">
        <f aca="false">CONCATENATE(B380," ",C380)</f>
        <v>tecnica mach</v>
      </c>
      <c r="K380" s="5" t="str">
        <f aca="false">IF(D380&lt;80,VLOOKUP(D380,R:S,2,FALSE()),CONCATENATE(D380," cm"))</f>
        <v>39 (EU) / 25 (MP)</v>
      </c>
      <c r="L380" s="17" t="n">
        <f aca="false">E380</f>
        <v>59</v>
      </c>
    </row>
    <row r="381" customFormat="false" ht="15" hidden="false" customHeight="false" outlineLevel="0" collapsed="false">
      <c r="A381" s="12" t="s">
        <v>590</v>
      </c>
      <c r="B381" s="13" t="s">
        <v>492</v>
      </c>
      <c r="C381" s="14" t="s">
        <v>508</v>
      </c>
      <c r="D381" s="15" t="n">
        <v>39</v>
      </c>
      <c r="E381" s="16" t="n">
        <v>55</v>
      </c>
      <c r="F381" s="13" t="s">
        <v>46</v>
      </c>
      <c r="G381" s="15" t="n">
        <v>1</v>
      </c>
      <c r="H381" s="5" t="str">
        <f aca="false">SUBSTITUTE(A381,"MS","",1)</f>
        <v>54126</v>
      </c>
      <c r="I381" s="5" t="str">
        <f aca="false">VLOOKUP(F381,O:P,2,FALSE())</f>
        <v>Chaussures Alpin </v>
      </c>
      <c r="J381" s="5" t="str">
        <f aca="false">CONCATENATE(B381," ",C381)</f>
        <v>lange rx</v>
      </c>
      <c r="K381" s="5" t="str">
        <f aca="false">IF(D381&lt;80,VLOOKUP(D381,R:S,2,FALSE()),CONCATENATE(D381," cm"))</f>
        <v>39 (EU) / 25 (MP)</v>
      </c>
      <c r="L381" s="17" t="n">
        <f aca="false">E381</f>
        <v>55</v>
      </c>
    </row>
    <row r="382" customFormat="false" ht="15" hidden="false" customHeight="false" outlineLevel="0" collapsed="false">
      <c r="A382" s="12" t="s">
        <v>591</v>
      </c>
      <c r="B382" s="13" t="s">
        <v>505</v>
      </c>
      <c r="C382" s="14" t="s">
        <v>483</v>
      </c>
      <c r="D382" s="15" t="n">
        <v>39</v>
      </c>
      <c r="E382" s="16" t="n">
        <v>55</v>
      </c>
      <c r="F382" s="13" t="s">
        <v>46</v>
      </c>
      <c r="G382" s="15" t="n">
        <v>1</v>
      </c>
      <c r="H382" s="5" t="str">
        <f aca="false">SUBSTITUTE(A382,"MS","",1)</f>
        <v>54127</v>
      </c>
      <c r="I382" s="5" t="str">
        <f aca="false">VLOOKUP(F382,O:P,2,FALSE())</f>
        <v>Chaussures Alpin </v>
      </c>
      <c r="J382" s="5" t="str">
        <f aca="false">CONCATENATE(B382," ",C382)</f>
        <v>tecnica mach</v>
      </c>
      <c r="K382" s="5" t="str">
        <f aca="false">IF(D382&lt;80,VLOOKUP(D382,R:S,2,FALSE()),CONCATENATE(D382," cm"))</f>
        <v>39 (EU) / 25 (MP)</v>
      </c>
      <c r="L382" s="17" t="n">
        <f aca="false">E382</f>
        <v>55</v>
      </c>
    </row>
    <row r="383" customFormat="false" ht="15" hidden="false" customHeight="false" outlineLevel="0" collapsed="false">
      <c r="A383" s="12" t="s">
        <v>592</v>
      </c>
      <c r="B383" s="13" t="s">
        <v>444</v>
      </c>
      <c r="C383" s="14" t="s">
        <v>537</v>
      </c>
      <c r="D383" s="15" t="n">
        <v>39</v>
      </c>
      <c r="E383" s="16" t="n">
        <v>55</v>
      </c>
      <c r="F383" s="13" t="s">
        <v>46</v>
      </c>
      <c r="G383" s="15" t="n">
        <v>1</v>
      </c>
      <c r="H383" s="5" t="str">
        <f aca="false">SUBSTITUTE(A383,"MS","",1)</f>
        <v>54128</v>
      </c>
      <c r="I383" s="5" t="str">
        <f aca="false">VLOOKUP(F383,O:P,2,FALSE())</f>
        <v>Chaussures Alpin </v>
      </c>
      <c r="J383" s="5" t="str">
        <f aca="false">CONCATENATE(B383," ",C383)</f>
        <v>salomon spro</v>
      </c>
      <c r="K383" s="5" t="str">
        <f aca="false">IF(D383&lt;80,VLOOKUP(D383,R:S,2,FALSE()),CONCATENATE(D383," cm"))</f>
        <v>39 (EU) / 25 (MP)</v>
      </c>
      <c r="L383" s="17" t="n">
        <f aca="false">E383</f>
        <v>55</v>
      </c>
    </row>
    <row r="384" customFormat="false" ht="15" hidden="false" customHeight="false" outlineLevel="0" collapsed="false">
      <c r="A384" s="12" t="s">
        <v>593</v>
      </c>
      <c r="B384" s="13" t="s">
        <v>191</v>
      </c>
      <c r="C384" s="14" t="s">
        <v>587</v>
      </c>
      <c r="D384" s="15" t="n">
        <v>39</v>
      </c>
      <c r="E384" s="16" t="n">
        <v>59</v>
      </c>
      <c r="F384" s="13" t="s">
        <v>46</v>
      </c>
      <c r="G384" s="15" t="n">
        <v>1</v>
      </c>
      <c r="H384" s="5" t="str">
        <f aca="false">SUBSTITUTE(A384,"MS","",1)</f>
        <v>54129</v>
      </c>
      <c r="I384" s="5" t="str">
        <f aca="false">VLOOKUP(F384,O:P,2,FALSE())</f>
        <v>Chaussures Alpin </v>
      </c>
      <c r="J384" s="5" t="str">
        <f aca="false">CONCATENATE(B384," ",C384)</f>
        <v>atomic hawkx</v>
      </c>
      <c r="K384" s="5" t="str">
        <f aca="false">IF(D384&lt;80,VLOOKUP(D384,R:S,2,FALSE()),CONCATENATE(D384," cm"))</f>
        <v>39 (EU) / 25 (MP)</v>
      </c>
      <c r="L384" s="17" t="n">
        <f aca="false">E384</f>
        <v>59</v>
      </c>
    </row>
    <row r="385" customFormat="false" ht="15" hidden="false" customHeight="false" outlineLevel="0" collapsed="false">
      <c r="A385" s="12" t="s">
        <v>594</v>
      </c>
      <c r="B385" s="13" t="s">
        <v>444</v>
      </c>
      <c r="C385" s="14" t="s">
        <v>537</v>
      </c>
      <c r="D385" s="15" t="n">
        <v>39</v>
      </c>
      <c r="E385" s="16" t="n">
        <v>55</v>
      </c>
      <c r="F385" s="13" t="s">
        <v>46</v>
      </c>
      <c r="G385" s="15" t="n">
        <v>1</v>
      </c>
      <c r="H385" s="5" t="str">
        <f aca="false">SUBSTITUTE(A385,"MS","",1)</f>
        <v>54130</v>
      </c>
      <c r="I385" s="5" t="str">
        <f aca="false">VLOOKUP(F385,O:P,2,FALSE())</f>
        <v>Chaussures Alpin </v>
      </c>
      <c r="J385" s="5" t="str">
        <f aca="false">CONCATENATE(B385," ",C385)</f>
        <v>salomon spro</v>
      </c>
      <c r="K385" s="5" t="str">
        <f aca="false">IF(D385&lt;80,VLOOKUP(D385,R:S,2,FALSE()),CONCATENATE(D385," cm"))</f>
        <v>39 (EU) / 25 (MP)</v>
      </c>
      <c r="L385" s="17" t="n">
        <f aca="false">E385</f>
        <v>55</v>
      </c>
    </row>
    <row r="386" customFormat="false" ht="15" hidden="false" customHeight="false" outlineLevel="0" collapsed="false">
      <c r="A386" s="12" t="s">
        <v>595</v>
      </c>
      <c r="B386" s="13" t="s">
        <v>499</v>
      </c>
      <c r="C386" s="14" t="s">
        <v>496</v>
      </c>
      <c r="D386" s="15" t="n">
        <v>38</v>
      </c>
      <c r="E386" s="16" t="n">
        <v>55</v>
      </c>
      <c r="F386" s="13" t="s">
        <v>46</v>
      </c>
      <c r="G386" s="15" t="n">
        <v>1</v>
      </c>
      <c r="H386" s="5" t="str">
        <f aca="false">SUBSTITUTE(A386,"MS","",1)</f>
        <v>54131</v>
      </c>
      <c r="I386" s="5" t="str">
        <f aca="false">VLOOKUP(F386,O:P,2,FALSE())</f>
        <v>Chaussures Alpin </v>
      </c>
      <c r="J386" s="5" t="str">
        <f aca="false">CONCATENATE(B386," ",C386)</f>
        <v>dalbello sport</v>
      </c>
      <c r="K386" s="5" t="str">
        <f aca="false">IF(D386&lt;80,VLOOKUP(D386,R:S,2,FALSE()),CONCATENATE(D386," cm"))</f>
        <v>38 (EU) / 24 (MP)</v>
      </c>
      <c r="L386" s="17" t="n">
        <f aca="false">E386</f>
        <v>55</v>
      </c>
    </row>
    <row r="387" customFormat="false" ht="15" hidden="false" customHeight="false" outlineLevel="0" collapsed="false">
      <c r="A387" s="12" t="s">
        <v>596</v>
      </c>
      <c r="B387" s="13" t="s">
        <v>515</v>
      </c>
      <c r="C387" s="14" t="s">
        <v>547</v>
      </c>
      <c r="D387" s="15" t="n">
        <v>38</v>
      </c>
      <c r="E387" s="16" t="n">
        <v>55</v>
      </c>
      <c r="F387" s="13" t="s">
        <v>46</v>
      </c>
      <c r="G387" s="15" t="n">
        <v>1</v>
      </c>
      <c r="H387" s="5" t="str">
        <f aca="false">SUBSTITUTE(A387,"MS","",1)</f>
        <v>54132</v>
      </c>
      <c r="I387" s="5" t="str">
        <f aca="false">VLOOKUP(F387,O:P,2,FALSE())</f>
        <v>Chaussures Alpin </v>
      </c>
      <c r="J387" s="5" t="str">
        <f aca="false">CONCATENATE(B387," ",C387)</f>
        <v>roxa fit</v>
      </c>
      <c r="K387" s="5" t="str">
        <f aca="false">IF(D387&lt;80,VLOOKUP(D387,R:S,2,FALSE()),CONCATENATE(D387," cm"))</f>
        <v>38 (EU) / 24 (MP)</v>
      </c>
      <c r="L387" s="17" t="n">
        <f aca="false">E387</f>
        <v>55</v>
      </c>
    </row>
    <row r="388" customFormat="false" ht="15" hidden="false" customHeight="false" outlineLevel="0" collapsed="false">
      <c r="A388" s="12" t="s">
        <v>597</v>
      </c>
      <c r="B388" s="13" t="s">
        <v>505</v>
      </c>
      <c r="C388" s="14" t="s">
        <v>483</v>
      </c>
      <c r="D388" s="15" t="n">
        <v>37</v>
      </c>
      <c r="E388" s="16" t="n">
        <v>55</v>
      </c>
      <c r="F388" s="13" t="s">
        <v>46</v>
      </c>
      <c r="G388" s="15" t="n">
        <v>1</v>
      </c>
      <c r="H388" s="5" t="str">
        <f aca="false">SUBSTITUTE(A388,"MS","",1)</f>
        <v>54133</v>
      </c>
      <c r="I388" s="5" t="str">
        <f aca="false">VLOOKUP(F388,O:P,2,FALSE())</f>
        <v>Chaussures Alpin </v>
      </c>
      <c r="J388" s="5" t="str">
        <f aca="false">CONCATENATE(B388," ",C388)</f>
        <v>tecnica mach</v>
      </c>
      <c r="K388" s="5" t="str">
        <f aca="false">IF(D388&lt;80,VLOOKUP(D388,R:S,2,FALSE()),CONCATENATE(D388," cm"))</f>
        <v>37 (EU) / 23 (MP)</v>
      </c>
      <c r="L388" s="17" t="n">
        <f aca="false">E388</f>
        <v>55</v>
      </c>
    </row>
    <row r="389" customFormat="false" ht="15" hidden="false" customHeight="false" outlineLevel="0" collapsed="false">
      <c r="A389" s="12" t="s">
        <v>598</v>
      </c>
      <c r="B389" s="13" t="s">
        <v>505</v>
      </c>
      <c r="C389" s="14" t="s">
        <v>483</v>
      </c>
      <c r="D389" s="15" t="n">
        <v>38</v>
      </c>
      <c r="E389" s="16" t="n">
        <v>55</v>
      </c>
      <c r="F389" s="13" t="s">
        <v>46</v>
      </c>
      <c r="G389" s="15" t="n">
        <v>1</v>
      </c>
      <c r="H389" s="5" t="str">
        <f aca="false">SUBSTITUTE(A389,"MS","",1)</f>
        <v>54134</v>
      </c>
      <c r="I389" s="5" t="str">
        <f aca="false">VLOOKUP(F389,O:P,2,FALSE())</f>
        <v>Chaussures Alpin </v>
      </c>
      <c r="J389" s="5" t="str">
        <f aca="false">CONCATENATE(B389," ",C389)</f>
        <v>tecnica mach</v>
      </c>
      <c r="K389" s="5" t="str">
        <f aca="false">IF(D389&lt;80,VLOOKUP(D389,R:S,2,FALSE()),CONCATENATE(D389," cm"))</f>
        <v>38 (EU) / 24 (MP)</v>
      </c>
      <c r="L389" s="17" t="n">
        <f aca="false">E389</f>
        <v>55</v>
      </c>
    </row>
    <row r="390" customFormat="false" ht="15" hidden="false" customHeight="false" outlineLevel="0" collapsed="false">
      <c r="A390" s="12" t="s">
        <v>599</v>
      </c>
      <c r="B390" s="13" t="s">
        <v>505</v>
      </c>
      <c r="C390" s="14" t="s">
        <v>483</v>
      </c>
      <c r="D390" s="15" t="n">
        <v>37</v>
      </c>
      <c r="E390" s="16" t="n">
        <v>55</v>
      </c>
      <c r="F390" s="13" t="s">
        <v>46</v>
      </c>
      <c r="G390" s="15" t="n">
        <v>1</v>
      </c>
      <c r="H390" s="5" t="str">
        <f aca="false">SUBSTITUTE(A390,"MS","",1)</f>
        <v>54135</v>
      </c>
      <c r="I390" s="5" t="str">
        <f aca="false">VLOOKUP(F390,O:P,2,FALSE())</f>
        <v>Chaussures Alpin </v>
      </c>
      <c r="J390" s="5" t="str">
        <f aca="false">CONCATENATE(B390," ",C390)</f>
        <v>tecnica mach</v>
      </c>
      <c r="K390" s="5" t="str">
        <f aca="false">IF(D390&lt;80,VLOOKUP(D390,R:S,2,FALSE()),CONCATENATE(D390," cm"))</f>
        <v>37 (EU) / 23 (MP)</v>
      </c>
      <c r="L390" s="17" t="n">
        <f aca="false">E390</f>
        <v>55</v>
      </c>
    </row>
    <row r="391" customFormat="false" ht="15" hidden="false" customHeight="false" outlineLevel="0" collapsed="false">
      <c r="A391" s="12" t="s">
        <v>600</v>
      </c>
      <c r="B391" s="13" t="s">
        <v>505</v>
      </c>
      <c r="C391" s="14" t="s">
        <v>483</v>
      </c>
      <c r="D391" s="15" t="n">
        <v>38</v>
      </c>
      <c r="E391" s="16" t="n">
        <v>55</v>
      </c>
      <c r="F391" s="13" t="s">
        <v>46</v>
      </c>
      <c r="G391" s="15" t="n">
        <v>1</v>
      </c>
      <c r="H391" s="5" t="str">
        <f aca="false">SUBSTITUTE(A391,"MS","",1)</f>
        <v>54136</v>
      </c>
      <c r="I391" s="5" t="str">
        <f aca="false">VLOOKUP(F391,O:P,2,FALSE())</f>
        <v>Chaussures Alpin </v>
      </c>
      <c r="J391" s="5" t="str">
        <f aca="false">CONCATENATE(B391," ",C391)</f>
        <v>tecnica mach</v>
      </c>
      <c r="K391" s="5" t="str">
        <f aca="false">IF(D391&lt;80,VLOOKUP(D391,R:S,2,FALSE()),CONCATENATE(D391," cm"))</f>
        <v>38 (EU) / 24 (MP)</v>
      </c>
      <c r="L391" s="17" t="n">
        <f aca="false">E391</f>
        <v>55</v>
      </c>
    </row>
    <row r="392" customFormat="false" ht="15" hidden="false" customHeight="false" outlineLevel="0" collapsed="false">
      <c r="A392" s="12" t="s">
        <v>601</v>
      </c>
      <c r="B392" s="13" t="s">
        <v>444</v>
      </c>
      <c r="C392" s="14" t="s">
        <v>510</v>
      </c>
      <c r="D392" s="15" t="n">
        <v>38</v>
      </c>
      <c r="E392" s="16" t="n">
        <v>55</v>
      </c>
      <c r="F392" s="13" t="s">
        <v>46</v>
      </c>
      <c r="G392" s="15" t="n">
        <v>1</v>
      </c>
      <c r="H392" s="5" t="str">
        <f aca="false">SUBSTITUTE(A392,"MS","",1)</f>
        <v>54137</v>
      </c>
      <c r="I392" s="5" t="str">
        <f aca="false">VLOOKUP(F392,O:P,2,FALSE())</f>
        <v>Chaussures Alpin </v>
      </c>
      <c r="J392" s="5" t="str">
        <f aca="false">CONCATENATE(B392," ",C392)</f>
        <v>salomon xpro</v>
      </c>
      <c r="K392" s="5" t="str">
        <f aca="false">IF(D392&lt;80,VLOOKUP(D392,R:S,2,FALSE()),CONCATENATE(D392," cm"))</f>
        <v>38 (EU) / 24 (MP)</v>
      </c>
      <c r="L392" s="17" t="n">
        <f aca="false">E392</f>
        <v>55</v>
      </c>
    </row>
    <row r="393" customFormat="false" ht="15" hidden="false" customHeight="false" outlineLevel="0" collapsed="false">
      <c r="A393" s="12" t="s">
        <v>602</v>
      </c>
      <c r="B393" s="13" t="s">
        <v>492</v>
      </c>
      <c r="C393" s="14" t="s">
        <v>508</v>
      </c>
      <c r="D393" s="15" t="n">
        <v>38</v>
      </c>
      <c r="E393" s="16" t="n">
        <v>49</v>
      </c>
      <c r="F393" s="13" t="s">
        <v>46</v>
      </c>
      <c r="G393" s="15" t="n">
        <v>1</v>
      </c>
      <c r="H393" s="5" t="str">
        <f aca="false">SUBSTITUTE(A393,"MS","",1)</f>
        <v>54138</v>
      </c>
      <c r="I393" s="5" t="str">
        <f aca="false">VLOOKUP(F393,O:P,2,FALSE())</f>
        <v>Chaussures Alpin </v>
      </c>
      <c r="J393" s="5" t="str">
        <f aca="false">CONCATENATE(B393," ",C393)</f>
        <v>lange rx</v>
      </c>
      <c r="K393" s="5" t="str">
        <f aca="false">IF(D393&lt;80,VLOOKUP(D393,R:S,2,FALSE()),CONCATENATE(D393," cm"))</f>
        <v>38 (EU) / 24 (MP)</v>
      </c>
      <c r="L393" s="17" t="n">
        <f aca="false">E393</f>
        <v>49</v>
      </c>
    </row>
    <row r="394" customFormat="false" ht="15" hidden="false" customHeight="false" outlineLevel="0" collapsed="false">
      <c r="A394" s="12" t="s">
        <v>603</v>
      </c>
      <c r="B394" s="13" t="s">
        <v>191</v>
      </c>
      <c r="C394" s="14" t="s">
        <v>604</v>
      </c>
      <c r="D394" s="15" t="n">
        <v>38</v>
      </c>
      <c r="E394" s="16" t="n">
        <v>49</v>
      </c>
      <c r="F394" s="13" t="s">
        <v>46</v>
      </c>
      <c r="G394" s="15" t="n">
        <v>1</v>
      </c>
      <c r="H394" s="5" t="str">
        <f aca="false">SUBSTITUTE(A394,"MS","",1)</f>
        <v>54139</v>
      </c>
      <c r="I394" s="5" t="str">
        <f aca="false">VLOOKUP(F394,O:P,2,FALSE())</f>
        <v>Chaussures Alpin </v>
      </c>
      <c r="J394" s="5" t="str">
        <f aca="false">CONCATENATE(B394," ",C394)</f>
        <v>atomic hawk</v>
      </c>
      <c r="K394" s="5" t="str">
        <f aca="false">IF(D394&lt;80,VLOOKUP(D394,R:S,2,FALSE()),CONCATENATE(D394," cm"))</f>
        <v>38 (EU) / 24 (MP)</v>
      </c>
      <c r="L394" s="17" t="n">
        <f aca="false">E394</f>
        <v>49</v>
      </c>
    </row>
    <row r="395" customFormat="false" ht="15" hidden="false" customHeight="false" outlineLevel="0" collapsed="false">
      <c r="A395" s="12" t="s">
        <v>605</v>
      </c>
      <c r="B395" s="13" t="s">
        <v>492</v>
      </c>
      <c r="C395" s="14" t="s">
        <v>508</v>
      </c>
      <c r="D395" s="15" t="n">
        <v>38</v>
      </c>
      <c r="E395" s="16" t="n">
        <v>49</v>
      </c>
      <c r="F395" s="13" t="s">
        <v>46</v>
      </c>
      <c r="G395" s="15" t="n">
        <v>1</v>
      </c>
      <c r="H395" s="5" t="str">
        <f aca="false">SUBSTITUTE(A395,"MS","",1)</f>
        <v>54140</v>
      </c>
      <c r="I395" s="5" t="str">
        <f aca="false">VLOOKUP(F395,O:P,2,FALSE())</f>
        <v>Chaussures Alpin </v>
      </c>
      <c r="J395" s="5" t="str">
        <f aca="false">CONCATENATE(B395," ",C395)</f>
        <v>lange rx</v>
      </c>
      <c r="K395" s="5" t="str">
        <f aca="false">IF(D395&lt;80,VLOOKUP(D395,R:S,2,FALSE()),CONCATENATE(D395," cm"))</f>
        <v>38 (EU) / 24 (MP)</v>
      </c>
      <c r="L395" s="17" t="n">
        <f aca="false">E395</f>
        <v>49</v>
      </c>
    </row>
    <row r="396" customFormat="false" ht="15" hidden="false" customHeight="false" outlineLevel="0" collapsed="false">
      <c r="A396" s="12" t="s">
        <v>606</v>
      </c>
      <c r="B396" s="13" t="s">
        <v>444</v>
      </c>
      <c r="C396" s="14" t="s">
        <v>537</v>
      </c>
      <c r="D396" s="15" t="n">
        <v>38</v>
      </c>
      <c r="E396" s="16" t="n">
        <v>55</v>
      </c>
      <c r="F396" s="13" t="s">
        <v>46</v>
      </c>
      <c r="G396" s="15" t="n">
        <v>1</v>
      </c>
      <c r="H396" s="5" t="str">
        <f aca="false">SUBSTITUTE(A396,"MS","",1)</f>
        <v>54141</v>
      </c>
      <c r="I396" s="5" t="str">
        <f aca="false">VLOOKUP(F396,O:P,2,FALSE())</f>
        <v>Chaussures Alpin </v>
      </c>
      <c r="J396" s="5" t="str">
        <f aca="false">CONCATENATE(B396," ",C396)</f>
        <v>salomon spro</v>
      </c>
      <c r="K396" s="5" t="str">
        <f aca="false">IF(D396&lt;80,VLOOKUP(D396,R:S,2,FALSE()),CONCATENATE(D396," cm"))</f>
        <v>38 (EU) / 24 (MP)</v>
      </c>
      <c r="L396" s="17" t="n">
        <f aca="false">E396</f>
        <v>55</v>
      </c>
    </row>
    <row r="397" customFormat="false" ht="15" hidden="false" customHeight="false" outlineLevel="0" collapsed="false">
      <c r="A397" s="12" t="s">
        <v>607</v>
      </c>
      <c r="B397" s="13" t="s">
        <v>492</v>
      </c>
      <c r="C397" s="14" t="s">
        <v>508</v>
      </c>
      <c r="D397" s="15" t="n">
        <v>38</v>
      </c>
      <c r="E397" s="16" t="n">
        <v>55</v>
      </c>
      <c r="F397" s="13" t="s">
        <v>46</v>
      </c>
      <c r="G397" s="15" t="n">
        <v>1</v>
      </c>
      <c r="H397" s="5" t="str">
        <f aca="false">SUBSTITUTE(A397,"MS","",1)</f>
        <v>54142</v>
      </c>
      <c r="I397" s="5" t="str">
        <f aca="false">VLOOKUP(F397,O:P,2,FALSE())</f>
        <v>Chaussures Alpin </v>
      </c>
      <c r="J397" s="5" t="str">
        <f aca="false">CONCATENATE(B397," ",C397)</f>
        <v>lange rx</v>
      </c>
      <c r="K397" s="5" t="str">
        <f aca="false">IF(D397&lt;80,VLOOKUP(D397,R:S,2,FALSE()),CONCATENATE(D397," cm"))</f>
        <v>38 (EU) / 24 (MP)</v>
      </c>
      <c r="L397" s="17" t="n">
        <f aca="false">E397</f>
        <v>55</v>
      </c>
    </row>
    <row r="398" customFormat="false" ht="15" hidden="false" customHeight="false" outlineLevel="0" collapsed="false">
      <c r="A398" s="12" t="s">
        <v>608</v>
      </c>
      <c r="B398" s="13" t="s">
        <v>492</v>
      </c>
      <c r="C398" s="14" t="s">
        <v>493</v>
      </c>
      <c r="D398" s="15" t="n">
        <v>37</v>
      </c>
      <c r="E398" s="16" t="n">
        <v>49</v>
      </c>
      <c r="F398" s="13" t="s">
        <v>46</v>
      </c>
      <c r="G398" s="15" t="n">
        <v>1</v>
      </c>
      <c r="H398" s="5" t="str">
        <f aca="false">SUBSTITUTE(A398,"MS","",1)</f>
        <v>54143</v>
      </c>
      <c r="I398" s="5" t="str">
        <f aca="false">VLOOKUP(F398,O:P,2,FALSE())</f>
        <v>Chaussures Alpin </v>
      </c>
      <c r="J398" s="5" t="str">
        <f aca="false">CONCATENATE(B398," ",C398)</f>
        <v>lange sx</v>
      </c>
      <c r="K398" s="5" t="str">
        <f aca="false">IF(D398&lt;80,VLOOKUP(D398,R:S,2,FALSE()),CONCATENATE(D398," cm"))</f>
        <v>37 (EU) / 23 (MP)</v>
      </c>
      <c r="L398" s="17" t="n">
        <f aca="false">E398</f>
        <v>49</v>
      </c>
    </row>
    <row r="399" customFormat="false" ht="15" hidden="false" customHeight="false" outlineLevel="0" collapsed="false">
      <c r="A399" s="12" t="s">
        <v>609</v>
      </c>
      <c r="B399" s="13" t="s">
        <v>240</v>
      </c>
      <c r="C399" s="14" t="s">
        <v>610</v>
      </c>
      <c r="D399" s="15" t="n">
        <v>38</v>
      </c>
      <c r="E399" s="16" t="n">
        <v>49</v>
      </c>
      <c r="F399" s="13" t="s">
        <v>46</v>
      </c>
      <c r="G399" s="15" t="n">
        <v>1</v>
      </c>
      <c r="H399" s="5" t="str">
        <f aca="false">SUBSTITUTE(A399,"MS","",1)</f>
        <v>54144</v>
      </c>
      <c r="I399" s="5" t="str">
        <f aca="false">VLOOKUP(F399,O:P,2,FALSE())</f>
        <v>Chaussures Alpin </v>
      </c>
      <c r="J399" s="5" t="str">
        <f aca="false">CONCATENATE(B399," ",C399)</f>
        <v>head edge</v>
      </c>
      <c r="K399" s="5" t="str">
        <f aca="false">IF(D399&lt;80,VLOOKUP(D399,R:S,2,FALSE()),CONCATENATE(D399," cm"))</f>
        <v>38 (EU) / 24 (MP)</v>
      </c>
      <c r="L399" s="17" t="n">
        <f aca="false">E399</f>
        <v>49</v>
      </c>
    </row>
    <row r="400" customFormat="false" ht="15" hidden="false" customHeight="false" outlineLevel="0" collapsed="false">
      <c r="A400" s="12" t="s">
        <v>611</v>
      </c>
      <c r="B400" s="13" t="s">
        <v>444</v>
      </c>
      <c r="C400" s="14" t="s">
        <v>578</v>
      </c>
      <c r="D400" s="15" t="n">
        <v>38</v>
      </c>
      <c r="E400" s="16" t="n">
        <v>55</v>
      </c>
      <c r="F400" s="13" t="s">
        <v>46</v>
      </c>
      <c r="G400" s="15" t="n">
        <v>1</v>
      </c>
      <c r="H400" s="5" t="str">
        <f aca="false">SUBSTITUTE(A400,"MS","",1)</f>
        <v>54145</v>
      </c>
      <c r="I400" s="5" t="str">
        <f aca="false">VLOOKUP(F400,O:P,2,FALSE())</f>
        <v>Chaussures Alpin </v>
      </c>
      <c r="J400" s="5" t="str">
        <f aca="false">CONCATENATE(B400," ",C400)</f>
        <v>salomon access</v>
      </c>
      <c r="K400" s="5" t="str">
        <f aca="false">IF(D400&lt;80,VLOOKUP(D400,R:S,2,FALSE()),CONCATENATE(D400," cm"))</f>
        <v>38 (EU) / 24 (MP)</v>
      </c>
      <c r="L400" s="17" t="n">
        <f aca="false">E400</f>
        <v>55</v>
      </c>
    </row>
    <row r="401" customFormat="false" ht="15" hidden="false" customHeight="false" outlineLevel="0" collapsed="false">
      <c r="A401" s="12" t="s">
        <v>612</v>
      </c>
      <c r="B401" s="13" t="s">
        <v>444</v>
      </c>
      <c r="C401" s="14" t="s">
        <v>570</v>
      </c>
      <c r="D401" s="15" t="n">
        <v>38</v>
      </c>
      <c r="E401" s="16" t="n">
        <v>55</v>
      </c>
      <c r="F401" s="13" t="s">
        <v>46</v>
      </c>
      <c r="G401" s="15" t="n">
        <v>1</v>
      </c>
      <c r="H401" s="5" t="str">
        <f aca="false">SUBSTITUTE(A401,"MS","",1)</f>
        <v>54146</v>
      </c>
      <c r="I401" s="5" t="str">
        <f aca="false">VLOOKUP(F401,O:P,2,FALSE())</f>
        <v>Chaussures Alpin </v>
      </c>
      <c r="J401" s="5" t="str">
        <f aca="false">CONCATENATE(B401," ",C401)</f>
        <v>salomon select</v>
      </c>
      <c r="K401" s="5" t="str">
        <f aca="false">IF(D401&lt;80,VLOOKUP(D401,R:S,2,FALSE()),CONCATENATE(D401," cm"))</f>
        <v>38 (EU) / 24 (MP)</v>
      </c>
      <c r="L401" s="17" t="n">
        <f aca="false">E401</f>
        <v>55</v>
      </c>
    </row>
    <row r="402" customFormat="false" ht="15" hidden="false" customHeight="false" outlineLevel="0" collapsed="false">
      <c r="A402" s="12" t="s">
        <v>613</v>
      </c>
      <c r="B402" s="13" t="s">
        <v>444</v>
      </c>
      <c r="C402" s="14" t="s">
        <v>537</v>
      </c>
      <c r="D402" s="15" t="n">
        <v>38</v>
      </c>
      <c r="E402" s="16" t="n">
        <v>55</v>
      </c>
      <c r="F402" s="13" t="s">
        <v>46</v>
      </c>
      <c r="G402" s="15" t="n">
        <v>1</v>
      </c>
      <c r="H402" s="5" t="str">
        <f aca="false">SUBSTITUTE(A402,"MS","",1)</f>
        <v>54147</v>
      </c>
      <c r="I402" s="5" t="str">
        <f aca="false">VLOOKUP(F402,O:P,2,FALSE())</f>
        <v>Chaussures Alpin </v>
      </c>
      <c r="J402" s="5" t="str">
        <f aca="false">CONCATENATE(B402," ",C402)</f>
        <v>salomon spro</v>
      </c>
      <c r="K402" s="5" t="str">
        <f aca="false">IF(D402&lt;80,VLOOKUP(D402,R:S,2,FALSE()),CONCATENATE(D402," cm"))</f>
        <v>38 (EU) / 24 (MP)</v>
      </c>
      <c r="L402" s="17" t="n">
        <f aca="false">E402</f>
        <v>55</v>
      </c>
    </row>
    <row r="403" customFormat="false" ht="15" hidden="false" customHeight="false" outlineLevel="0" collapsed="false">
      <c r="A403" s="12" t="s">
        <v>614</v>
      </c>
      <c r="B403" s="13" t="s">
        <v>191</v>
      </c>
      <c r="C403" s="14" t="s">
        <v>604</v>
      </c>
      <c r="D403" s="15" t="n">
        <v>37</v>
      </c>
      <c r="E403" s="16" t="n">
        <v>49</v>
      </c>
      <c r="F403" s="13" t="s">
        <v>46</v>
      </c>
      <c r="G403" s="15" t="n">
        <v>1</v>
      </c>
      <c r="H403" s="5" t="str">
        <f aca="false">SUBSTITUTE(A403,"MS","",1)</f>
        <v>54148</v>
      </c>
      <c r="I403" s="5" t="str">
        <f aca="false">VLOOKUP(F403,O:P,2,FALSE())</f>
        <v>Chaussures Alpin </v>
      </c>
      <c r="J403" s="5" t="str">
        <f aca="false">CONCATENATE(B403," ",C403)</f>
        <v>atomic hawk</v>
      </c>
      <c r="K403" s="5" t="str">
        <f aca="false">IF(D403&lt;80,VLOOKUP(D403,R:S,2,FALSE()),CONCATENATE(D403," cm"))</f>
        <v>37 (EU) / 23 (MP)</v>
      </c>
      <c r="L403" s="17" t="n">
        <f aca="false">E403</f>
        <v>49</v>
      </c>
    </row>
    <row r="404" customFormat="false" ht="15" hidden="false" customHeight="false" outlineLevel="0" collapsed="false">
      <c r="A404" s="12" t="s">
        <v>615</v>
      </c>
      <c r="B404" s="13" t="s">
        <v>505</v>
      </c>
      <c r="C404" s="14" t="s">
        <v>483</v>
      </c>
      <c r="D404" s="15" t="n">
        <v>37</v>
      </c>
      <c r="E404" s="16" t="n">
        <v>55</v>
      </c>
      <c r="F404" s="13" t="s">
        <v>46</v>
      </c>
      <c r="G404" s="15" t="n">
        <v>1</v>
      </c>
      <c r="H404" s="5" t="str">
        <f aca="false">SUBSTITUTE(A404,"MS","",1)</f>
        <v>54149</v>
      </c>
      <c r="I404" s="5" t="str">
        <f aca="false">VLOOKUP(F404,O:P,2,FALSE())</f>
        <v>Chaussures Alpin </v>
      </c>
      <c r="J404" s="5" t="str">
        <f aca="false">CONCATENATE(B404," ",C404)</f>
        <v>tecnica mach</v>
      </c>
      <c r="K404" s="5" t="str">
        <f aca="false">IF(D404&lt;80,VLOOKUP(D404,R:S,2,FALSE()),CONCATENATE(D404," cm"))</f>
        <v>37 (EU) / 23 (MP)</v>
      </c>
      <c r="L404" s="17" t="n">
        <f aca="false">E404</f>
        <v>55</v>
      </c>
    </row>
    <row r="405" customFormat="false" ht="15" hidden="false" customHeight="false" outlineLevel="0" collapsed="false">
      <c r="A405" s="12" t="s">
        <v>616</v>
      </c>
      <c r="B405" s="13" t="s">
        <v>505</v>
      </c>
      <c r="C405" s="14" t="s">
        <v>483</v>
      </c>
      <c r="D405" s="15" t="n">
        <v>36</v>
      </c>
      <c r="E405" s="16" t="n">
        <v>55</v>
      </c>
      <c r="F405" s="13" t="s">
        <v>46</v>
      </c>
      <c r="G405" s="15" t="n">
        <v>1</v>
      </c>
      <c r="H405" s="5" t="str">
        <f aca="false">SUBSTITUTE(A405,"MS","",1)</f>
        <v>54150</v>
      </c>
      <c r="I405" s="5" t="str">
        <f aca="false">VLOOKUP(F405,O:P,2,FALSE())</f>
        <v>Chaussures Alpin </v>
      </c>
      <c r="J405" s="5" t="str">
        <f aca="false">CONCATENATE(B405," ",C405)</f>
        <v>tecnica mach</v>
      </c>
      <c r="K405" s="5" t="str">
        <f aca="false">IF(D405&lt;80,VLOOKUP(D405,R:S,2,FALSE()),CONCATENATE(D405," cm"))</f>
        <v>36 (EU) / 23 (MP)</v>
      </c>
      <c r="L405" s="17" t="n">
        <f aca="false">E405</f>
        <v>55</v>
      </c>
    </row>
    <row r="406" customFormat="false" ht="15" hidden="false" customHeight="false" outlineLevel="0" collapsed="false">
      <c r="A406" s="12" t="s">
        <v>617</v>
      </c>
      <c r="B406" s="13" t="s">
        <v>505</v>
      </c>
      <c r="C406" s="14" t="s">
        <v>483</v>
      </c>
      <c r="D406" s="15" t="n">
        <v>36</v>
      </c>
      <c r="E406" s="16" t="n">
        <v>55</v>
      </c>
      <c r="F406" s="13" t="s">
        <v>46</v>
      </c>
      <c r="G406" s="15" t="n">
        <v>1</v>
      </c>
      <c r="H406" s="5" t="str">
        <f aca="false">SUBSTITUTE(A406,"MS","",1)</f>
        <v>54151</v>
      </c>
      <c r="I406" s="5" t="str">
        <f aca="false">VLOOKUP(F406,O:P,2,FALSE())</f>
        <v>Chaussures Alpin </v>
      </c>
      <c r="J406" s="5" t="str">
        <f aca="false">CONCATENATE(B406," ",C406)</f>
        <v>tecnica mach</v>
      </c>
      <c r="K406" s="5" t="str">
        <f aca="false">IF(D406&lt;80,VLOOKUP(D406,R:S,2,FALSE()),CONCATENATE(D406," cm"))</f>
        <v>36 (EU) / 23 (MP)</v>
      </c>
      <c r="L406" s="17" t="n">
        <f aca="false">E406</f>
        <v>55</v>
      </c>
    </row>
    <row r="407" customFormat="false" ht="15" hidden="false" customHeight="false" outlineLevel="0" collapsed="false">
      <c r="A407" s="12" t="s">
        <v>618</v>
      </c>
      <c r="B407" s="13" t="s">
        <v>505</v>
      </c>
      <c r="C407" s="14" t="s">
        <v>483</v>
      </c>
      <c r="D407" s="15" t="n">
        <v>36</v>
      </c>
      <c r="E407" s="16" t="n">
        <v>55</v>
      </c>
      <c r="F407" s="13" t="s">
        <v>46</v>
      </c>
      <c r="G407" s="15" t="n">
        <v>1</v>
      </c>
      <c r="H407" s="5" t="str">
        <f aca="false">SUBSTITUTE(A407,"MS","",1)</f>
        <v>54152</v>
      </c>
      <c r="I407" s="5" t="str">
        <f aca="false">VLOOKUP(F407,O:P,2,FALSE())</f>
        <v>Chaussures Alpin </v>
      </c>
      <c r="J407" s="5" t="str">
        <f aca="false">CONCATENATE(B407," ",C407)</f>
        <v>tecnica mach</v>
      </c>
      <c r="K407" s="5" t="str">
        <f aca="false">IF(D407&lt;80,VLOOKUP(D407,R:S,2,FALSE()),CONCATENATE(D407," cm"))</f>
        <v>36 (EU) / 23 (MP)</v>
      </c>
      <c r="L407" s="17" t="n">
        <f aca="false">E407</f>
        <v>55</v>
      </c>
    </row>
    <row r="408" customFormat="false" ht="15" hidden="false" customHeight="false" outlineLevel="0" collapsed="false">
      <c r="A408" s="12" t="s">
        <v>619</v>
      </c>
      <c r="B408" s="13" t="s">
        <v>444</v>
      </c>
      <c r="C408" s="14" t="s">
        <v>578</v>
      </c>
      <c r="D408" s="15" t="n">
        <v>36</v>
      </c>
      <c r="E408" s="16" t="n">
        <v>55</v>
      </c>
      <c r="F408" s="13" t="s">
        <v>46</v>
      </c>
      <c r="G408" s="15" t="n">
        <v>1</v>
      </c>
      <c r="H408" s="5" t="str">
        <f aca="false">SUBSTITUTE(A408,"MS","",1)</f>
        <v>54153</v>
      </c>
      <c r="I408" s="5" t="str">
        <f aca="false">VLOOKUP(F408,O:P,2,FALSE())</f>
        <v>Chaussures Alpin </v>
      </c>
      <c r="J408" s="5" t="str">
        <f aca="false">CONCATENATE(B408," ",C408)</f>
        <v>salomon access</v>
      </c>
      <c r="K408" s="5" t="str">
        <f aca="false">IF(D408&lt;80,VLOOKUP(D408,R:S,2,FALSE()),CONCATENATE(D408," cm"))</f>
        <v>36 (EU) / 23 (MP)</v>
      </c>
      <c r="L408" s="17" t="n">
        <f aca="false">E408</f>
        <v>55</v>
      </c>
    </row>
    <row r="409" customFormat="false" ht="15" hidden="false" customHeight="false" outlineLevel="0" collapsed="false">
      <c r="A409" s="12" t="s">
        <v>620</v>
      </c>
      <c r="B409" s="13" t="s">
        <v>492</v>
      </c>
      <c r="C409" s="14" t="s">
        <v>409</v>
      </c>
      <c r="D409" s="15" t="n">
        <v>36</v>
      </c>
      <c r="E409" s="16" t="n">
        <v>55</v>
      </c>
      <c r="F409" s="13" t="s">
        <v>46</v>
      </c>
      <c r="G409" s="15" t="n">
        <v>1</v>
      </c>
      <c r="H409" s="5" t="str">
        <f aca="false">SUBSTITUTE(A409,"MS","",1)</f>
        <v>54154</v>
      </c>
      <c r="I409" s="5" t="str">
        <f aca="false">VLOOKUP(F409,O:P,2,FALSE())</f>
        <v>Chaussures Alpin </v>
      </c>
      <c r="J409" s="5" t="str">
        <f aca="false">CONCATENATE(B409," ",C409)</f>
        <v>lange xt</v>
      </c>
      <c r="K409" s="5" t="str">
        <f aca="false">IF(D409&lt;80,VLOOKUP(D409,R:S,2,FALSE()),CONCATENATE(D409," cm"))</f>
        <v>36 (EU) / 23 (MP)</v>
      </c>
      <c r="L409" s="17" t="n">
        <f aca="false">E409</f>
        <v>55</v>
      </c>
    </row>
    <row r="410" customFormat="false" ht="15" hidden="false" customHeight="false" outlineLevel="0" collapsed="false">
      <c r="A410" s="12" t="s">
        <v>621</v>
      </c>
      <c r="B410" s="13" t="s">
        <v>240</v>
      </c>
      <c r="C410" s="14" t="s">
        <v>501</v>
      </c>
      <c r="D410" s="15" t="n">
        <v>36</v>
      </c>
      <c r="E410" s="16" t="n">
        <v>49</v>
      </c>
      <c r="F410" s="13" t="s">
        <v>46</v>
      </c>
      <c r="G410" s="15" t="n">
        <v>1</v>
      </c>
      <c r="H410" s="5" t="str">
        <f aca="false">SUBSTITUTE(A410,"MS","",1)</f>
        <v>54155</v>
      </c>
      <c r="I410" s="5" t="str">
        <f aca="false">VLOOKUP(F410,O:P,2,FALSE())</f>
        <v>Chaussures Alpin </v>
      </c>
      <c r="J410" s="5" t="str">
        <f aca="false">CONCATENATE(B410," ",C410)</f>
        <v>head lyt</v>
      </c>
      <c r="K410" s="5" t="str">
        <f aca="false">IF(D410&lt;80,VLOOKUP(D410,R:S,2,FALSE()),CONCATENATE(D410," cm"))</f>
        <v>36 (EU) / 23 (MP)</v>
      </c>
      <c r="L410" s="17" t="n">
        <f aca="false">E410</f>
        <v>49</v>
      </c>
    </row>
    <row r="411" customFormat="false" ht="15" hidden="false" customHeight="false" outlineLevel="0" collapsed="false">
      <c r="A411" s="12" t="s">
        <v>622</v>
      </c>
      <c r="B411" s="13" t="s">
        <v>444</v>
      </c>
      <c r="C411" s="14" t="s">
        <v>537</v>
      </c>
      <c r="D411" s="15" t="n">
        <v>36</v>
      </c>
      <c r="E411" s="16" t="n">
        <v>55</v>
      </c>
      <c r="F411" s="13" t="s">
        <v>46</v>
      </c>
      <c r="G411" s="15" t="n">
        <v>1</v>
      </c>
      <c r="H411" s="5" t="str">
        <f aca="false">SUBSTITUTE(A411,"MS","",1)</f>
        <v>54156</v>
      </c>
      <c r="I411" s="5" t="str">
        <f aca="false">VLOOKUP(F411,O:P,2,FALSE())</f>
        <v>Chaussures Alpin </v>
      </c>
      <c r="J411" s="5" t="str">
        <f aca="false">CONCATENATE(B411," ",C411)</f>
        <v>salomon spro</v>
      </c>
      <c r="K411" s="5" t="str">
        <f aca="false">IF(D411&lt;80,VLOOKUP(D411,R:S,2,FALSE()),CONCATENATE(D411," cm"))</f>
        <v>36 (EU) / 23 (MP)</v>
      </c>
      <c r="L411" s="17" t="n">
        <f aca="false">E411</f>
        <v>55</v>
      </c>
    </row>
    <row r="412" customFormat="false" ht="15" hidden="false" customHeight="false" outlineLevel="0" collapsed="false">
      <c r="A412" s="12" t="s">
        <v>623</v>
      </c>
      <c r="B412" s="13" t="s">
        <v>444</v>
      </c>
      <c r="C412" s="14" t="s">
        <v>624</v>
      </c>
      <c r="D412" s="15" t="n">
        <v>36</v>
      </c>
      <c r="E412" s="16" t="n">
        <v>45</v>
      </c>
      <c r="F412" s="13" t="s">
        <v>46</v>
      </c>
      <c r="G412" s="15" t="n">
        <v>1</v>
      </c>
      <c r="H412" s="5" t="str">
        <f aca="false">SUBSTITUTE(A412,"MS","",1)</f>
        <v>54157</v>
      </c>
      <c r="I412" s="5" t="str">
        <f aca="false">VLOOKUP(F412,O:P,2,FALSE())</f>
        <v>Chaussures Alpin </v>
      </c>
      <c r="J412" s="5" t="str">
        <f aca="false">CONCATENATE(B412," ",C412)</f>
        <v>salomon quest</v>
      </c>
      <c r="K412" s="5" t="str">
        <f aca="false">IF(D412&lt;80,VLOOKUP(D412,R:S,2,FALSE()),CONCATENATE(D412," cm"))</f>
        <v>36 (EU) / 23 (MP)</v>
      </c>
      <c r="L412" s="17" t="n">
        <f aca="false">E412</f>
        <v>45</v>
      </c>
    </row>
    <row r="413" customFormat="false" ht="15" hidden="false" customHeight="false" outlineLevel="0" collapsed="false">
      <c r="A413" s="12" t="s">
        <v>625</v>
      </c>
      <c r="B413" s="13" t="s">
        <v>444</v>
      </c>
      <c r="C413" s="14" t="s">
        <v>510</v>
      </c>
      <c r="D413" s="15" t="n">
        <v>36</v>
      </c>
      <c r="E413" s="16" t="n">
        <v>49</v>
      </c>
      <c r="F413" s="13" t="s">
        <v>46</v>
      </c>
      <c r="G413" s="15" t="n">
        <v>1</v>
      </c>
      <c r="H413" s="5" t="str">
        <f aca="false">SUBSTITUTE(A413,"MS","",1)</f>
        <v>54158</v>
      </c>
      <c r="I413" s="5" t="str">
        <f aca="false">VLOOKUP(F413,O:P,2,FALSE())</f>
        <v>Chaussures Alpin </v>
      </c>
      <c r="J413" s="5" t="str">
        <f aca="false">CONCATENATE(B413," ",C413)</f>
        <v>salomon xpro</v>
      </c>
      <c r="K413" s="5" t="str">
        <f aca="false">IF(D413&lt;80,VLOOKUP(D413,R:S,2,FALSE()),CONCATENATE(D413," cm"))</f>
        <v>36 (EU) / 23 (MP)</v>
      </c>
      <c r="L413" s="17" t="n">
        <f aca="false">E413</f>
        <v>49</v>
      </c>
    </row>
    <row r="414" customFormat="false" ht="15" hidden="false" customHeight="false" outlineLevel="0" collapsed="false">
      <c r="A414" s="12" t="s">
        <v>626</v>
      </c>
      <c r="B414" s="13" t="s">
        <v>444</v>
      </c>
      <c r="C414" s="14" t="s">
        <v>627</v>
      </c>
      <c r="D414" s="15" t="n">
        <v>36</v>
      </c>
      <c r="E414" s="16" t="n">
        <v>55</v>
      </c>
      <c r="F414" s="13" t="s">
        <v>46</v>
      </c>
      <c r="G414" s="15" t="n">
        <v>1</v>
      </c>
      <c r="H414" s="5" t="str">
        <f aca="false">SUBSTITUTE(A414,"MS","",1)</f>
        <v>54159</v>
      </c>
      <c r="I414" s="5" t="str">
        <f aca="false">VLOOKUP(F414,O:P,2,FALSE())</f>
        <v>Chaussures Alpin </v>
      </c>
      <c r="J414" s="5" t="str">
        <f aca="false">CONCATENATE(B414," ",C414)</f>
        <v>salomon alpha</v>
      </c>
      <c r="K414" s="5" t="str">
        <f aca="false">IF(D414&lt;80,VLOOKUP(D414,R:S,2,FALSE()),CONCATENATE(D414," cm"))</f>
        <v>36 (EU) / 23 (MP)</v>
      </c>
      <c r="L414" s="17" t="n">
        <f aca="false">E414</f>
        <v>55</v>
      </c>
    </row>
    <row r="415" customFormat="false" ht="15" hidden="false" customHeight="false" outlineLevel="0" collapsed="false">
      <c r="A415" s="12" t="s">
        <v>628</v>
      </c>
      <c r="B415" s="13" t="s">
        <v>240</v>
      </c>
      <c r="C415" s="14" t="s">
        <v>501</v>
      </c>
      <c r="D415" s="15" t="n">
        <v>35</v>
      </c>
      <c r="E415" s="16" t="n">
        <v>49</v>
      </c>
      <c r="F415" s="13" t="s">
        <v>46</v>
      </c>
      <c r="G415" s="15" t="n">
        <v>1</v>
      </c>
      <c r="H415" s="5" t="str">
        <f aca="false">SUBSTITUTE(A415,"MS","",1)</f>
        <v>54160</v>
      </c>
      <c r="I415" s="5" t="str">
        <f aca="false">VLOOKUP(F415,O:P,2,FALSE())</f>
        <v>Chaussures Alpin </v>
      </c>
      <c r="J415" s="5" t="str">
        <f aca="false">CONCATENATE(B415," ",C415)</f>
        <v>head lyt</v>
      </c>
      <c r="K415" s="5" t="str">
        <f aca="false">IF(D415&lt;80,VLOOKUP(D415,R:S,2,FALSE()),CONCATENATE(D415," cm"))</f>
        <v>35 (EU) / 22 (MP)</v>
      </c>
      <c r="L415" s="17" t="n">
        <f aca="false">E415</f>
        <v>49</v>
      </c>
    </row>
    <row r="416" customFormat="false" ht="15" hidden="false" customHeight="false" outlineLevel="0" collapsed="false">
      <c r="A416" s="12" t="s">
        <v>629</v>
      </c>
      <c r="B416" s="13" t="s">
        <v>492</v>
      </c>
      <c r="C416" s="14" t="s">
        <v>449</v>
      </c>
      <c r="D416" s="15" t="n">
        <v>38</v>
      </c>
      <c r="E416" s="16" t="n">
        <v>35</v>
      </c>
      <c r="F416" s="13" t="s">
        <v>51</v>
      </c>
      <c r="G416" s="15" t="n">
        <v>1</v>
      </c>
      <c r="H416" s="5" t="str">
        <f aca="false">SUBSTITUTE(A416,"MS","",1)</f>
        <v>54161</v>
      </c>
      <c r="I416" s="5" t="str">
        <f aca="false">VLOOKUP(F416,O:P,2,FALSE())</f>
        <v>Chaussures Alpin </v>
      </c>
      <c r="J416" s="5" t="str">
        <f aca="false">CONCATENATE(B416," ",C416)</f>
        <v>lange rs</v>
      </c>
      <c r="K416" s="5" t="str">
        <f aca="false">IF(D416&lt;80,VLOOKUP(D416,R:S,2,FALSE()),CONCATENATE(D416," cm"))</f>
        <v>38 (EU) / 24 (MP)</v>
      </c>
      <c r="L416" s="17" t="n">
        <f aca="false">E416</f>
        <v>35</v>
      </c>
    </row>
    <row r="417" customFormat="false" ht="15" hidden="false" customHeight="false" outlineLevel="0" collapsed="false">
      <c r="A417" s="12" t="s">
        <v>630</v>
      </c>
      <c r="B417" s="13" t="s">
        <v>492</v>
      </c>
      <c r="C417" s="14" t="s">
        <v>449</v>
      </c>
      <c r="D417" s="15" t="n">
        <v>38</v>
      </c>
      <c r="E417" s="16" t="n">
        <v>35</v>
      </c>
      <c r="F417" s="13" t="s">
        <v>51</v>
      </c>
      <c r="G417" s="15" t="n">
        <v>1</v>
      </c>
      <c r="H417" s="5" t="str">
        <f aca="false">SUBSTITUTE(A417,"MS","",1)</f>
        <v>54162</v>
      </c>
      <c r="I417" s="5" t="str">
        <f aca="false">VLOOKUP(F417,O:P,2,FALSE())</f>
        <v>Chaussures Alpin </v>
      </c>
      <c r="J417" s="5" t="str">
        <f aca="false">CONCATENATE(B417," ",C417)</f>
        <v>lange rs</v>
      </c>
      <c r="K417" s="5" t="str">
        <f aca="false">IF(D417&lt;80,VLOOKUP(D417,R:S,2,FALSE()),CONCATENATE(D417," cm"))</f>
        <v>38 (EU) / 24 (MP)</v>
      </c>
      <c r="L417" s="17" t="n">
        <f aca="false">E417</f>
        <v>35</v>
      </c>
    </row>
    <row r="418" customFormat="false" ht="15" hidden="false" customHeight="false" outlineLevel="0" collapsed="false">
      <c r="A418" s="12" t="s">
        <v>631</v>
      </c>
      <c r="B418" s="13" t="s">
        <v>505</v>
      </c>
      <c r="C418" s="14" t="s">
        <v>632</v>
      </c>
      <c r="D418" s="15" t="n">
        <v>38</v>
      </c>
      <c r="E418" s="16" t="n">
        <v>35</v>
      </c>
      <c r="F418" s="13" t="s">
        <v>51</v>
      </c>
      <c r="G418" s="15" t="n">
        <v>1</v>
      </c>
      <c r="H418" s="5" t="str">
        <f aca="false">SUBSTITUTE(A418,"MS","",1)</f>
        <v>54163</v>
      </c>
      <c r="I418" s="5" t="str">
        <f aca="false">VLOOKUP(F418,O:P,2,FALSE())</f>
        <v>Chaussures Alpin </v>
      </c>
      <c r="J418" s="5" t="str">
        <f aca="false">CONCATENATE(B418," ",C418)</f>
        <v>tecnica cochise</v>
      </c>
      <c r="K418" s="5" t="str">
        <f aca="false">IF(D418&lt;80,VLOOKUP(D418,R:S,2,FALSE()),CONCATENATE(D418," cm"))</f>
        <v>38 (EU) / 24 (MP)</v>
      </c>
      <c r="L418" s="17" t="n">
        <f aca="false">E418</f>
        <v>35</v>
      </c>
    </row>
    <row r="419" customFormat="false" ht="15" hidden="false" customHeight="false" outlineLevel="0" collapsed="false">
      <c r="A419" s="12" t="s">
        <v>633</v>
      </c>
      <c r="B419" s="13" t="s">
        <v>368</v>
      </c>
      <c r="C419" s="14" t="s">
        <v>41</v>
      </c>
      <c r="D419" s="15" t="n">
        <v>38</v>
      </c>
      <c r="E419" s="16" t="n">
        <v>35</v>
      </c>
      <c r="F419" s="13" t="s">
        <v>51</v>
      </c>
      <c r="G419" s="15" t="n">
        <v>1</v>
      </c>
      <c r="H419" s="5" t="str">
        <f aca="false">SUBSTITUTE(A419,"MS","",1)</f>
        <v>54164</v>
      </c>
      <c r="I419" s="5" t="str">
        <f aca="false">VLOOKUP(F419,O:P,2,FALSE())</f>
        <v>Chaussures Alpin </v>
      </c>
      <c r="J419" s="5" t="str">
        <f aca="false">CONCATENATE(B419," ",C419)</f>
        <v>rossignol hero</v>
      </c>
      <c r="K419" s="5" t="str">
        <f aca="false">IF(D419&lt;80,VLOOKUP(D419,R:S,2,FALSE()),CONCATENATE(D419," cm"))</f>
        <v>38 (EU) / 24 (MP)</v>
      </c>
      <c r="L419" s="17" t="n">
        <f aca="false">E419</f>
        <v>35</v>
      </c>
    </row>
    <row r="420" customFormat="false" ht="15" hidden="false" customHeight="false" outlineLevel="0" collapsed="false">
      <c r="A420" s="12" t="s">
        <v>634</v>
      </c>
      <c r="B420" s="13" t="s">
        <v>368</v>
      </c>
      <c r="C420" s="14" t="s">
        <v>41</v>
      </c>
      <c r="D420" s="15" t="n">
        <v>38</v>
      </c>
      <c r="E420" s="16" t="n">
        <v>35</v>
      </c>
      <c r="F420" s="13" t="s">
        <v>51</v>
      </c>
      <c r="G420" s="15" t="n">
        <v>1</v>
      </c>
      <c r="H420" s="5" t="str">
        <f aca="false">SUBSTITUTE(A420,"MS","",1)</f>
        <v>54165</v>
      </c>
      <c r="I420" s="5" t="str">
        <f aca="false">VLOOKUP(F420,O:P,2,FALSE())</f>
        <v>Chaussures Alpin </v>
      </c>
      <c r="J420" s="5" t="str">
        <f aca="false">CONCATENATE(B420," ",C420)</f>
        <v>rossignol hero</v>
      </c>
      <c r="K420" s="5" t="str">
        <f aca="false">IF(D420&lt;80,VLOOKUP(D420,R:S,2,FALSE()),CONCATENATE(D420," cm"))</f>
        <v>38 (EU) / 24 (MP)</v>
      </c>
      <c r="L420" s="17" t="n">
        <f aca="false">E420</f>
        <v>35</v>
      </c>
    </row>
    <row r="421" customFormat="false" ht="15" hidden="false" customHeight="false" outlineLevel="0" collapsed="false">
      <c r="A421" s="12" t="s">
        <v>635</v>
      </c>
      <c r="B421" s="13" t="s">
        <v>368</v>
      </c>
      <c r="C421" s="14" t="s">
        <v>41</v>
      </c>
      <c r="D421" s="15" t="n">
        <v>37</v>
      </c>
      <c r="E421" s="16" t="n">
        <v>35</v>
      </c>
      <c r="F421" s="13" t="s">
        <v>51</v>
      </c>
      <c r="G421" s="15" t="n">
        <v>1</v>
      </c>
      <c r="H421" s="5" t="str">
        <f aca="false">SUBSTITUTE(A421,"MS","",1)</f>
        <v>54166</v>
      </c>
      <c r="I421" s="5" t="str">
        <f aca="false">VLOOKUP(F421,O:P,2,FALSE())</f>
        <v>Chaussures Alpin </v>
      </c>
      <c r="J421" s="5" t="str">
        <f aca="false">CONCATENATE(B421," ",C421)</f>
        <v>rossignol hero</v>
      </c>
      <c r="K421" s="5" t="str">
        <f aca="false">IF(D421&lt;80,VLOOKUP(D421,R:S,2,FALSE()),CONCATENATE(D421," cm"))</f>
        <v>37 (EU) / 23 (MP)</v>
      </c>
      <c r="L421" s="17" t="n">
        <f aca="false">E421</f>
        <v>35</v>
      </c>
    </row>
    <row r="422" customFormat="false" ht="15" hidden="false" customHeight="false" outlineLevel="0" collapsed="false">
      <c r="A422" s="12" t="s">
        <v>636</v>
      </c>
      <c r="B422" s="13" t="s">
        <v>368</v>
      </c>
      <c r="C422" s="14" t="s">
        <v>41</v>
      </c>
      <c r="D422" s="15" t="n">
        <v>38</v>
      </c>
      <c r="E422" s="16" t="n">
        <v>35</v>
      </c>
      <c r="F422" s="13" t="s">
        <v>51</v>
      </c>
      <c r="G422" s="15" t="n">
        <v>1</v>
      </c>
      <c r="H422" s="5" t="str">
        <f aca="false">SUBSTITUTE(A422,"MS","",1)</f>
        <v>54167</v>
      </c>
      <c r="I422" s="5" t="str">
        <f aca="false">VLOOKUP(F422,O:P,2,FALSE())</f>
        <v>Chaussures Alpin </v>
      </c>
      <c r="J422" s="5" t="str">
        <f aca="false">CONCATENATE(B422," ",C422)</f>
        <v>rossignol hero</v>
      </c>
      <c r="K422" s="5" t="str">
        <f aca="false">IF(D422&lt;80,VLOOKUP(D422,R:S,2,FALSE()),CONCATENATE(D422," cm"))</f>
        <v>38 (EU) / 24 (MP)</v>
      </c>
      <c r="L422" s="17" t="n">
        <f aca="false">E422</f>
        <v>35</v>
      </c>
    </row>
    <row r="423" customFormat="false" ht="15" hidden="false" customHeight="false" outlineLevel="0" collapsed="false">
      <c r="A423" s="12" t="s">
        <v>637</v>
      </c>
      <c r="B423" s="13" t="s">
        <v>492</v>
      </c>
      <c r="C423" s="14" t="s">
        <v>449</v>
      </c>
      <c r="D423" s="15" t="n">
        <v>37</v>
      </c>
      <c r="E423" s="16" t="n">
        <v>35</v>
      </c>
      <c r="F423" s="13" t="s">
        <v>51</v>
      </c>
      <c r="G423" s="15" t="n">
        <v>1</v>
      </c>
      <c r="H423" s="5" t="str">
        <f aca="false">SUBSTITUTE(A423,"MS","",1)</f>
        <v>54168</v>
      </c>
      <c r="I423" s="5" t="str">
        <f aca="false">VLOOKUP(F423,O:P,2,FALSE())</f>
        <v>Chaussures Alpin </v>
      </c>
      <c r="J423" s="5" t="str">
        <f aca="false">CONCATENATE(B423," ",C423)</f>
        <v>lange rs</v>
      </c>
      <c r="K423" s="5" t="str">
        <f aca="false">IF(D423&lt;80,VLOOKUP(D423,R:S,2,FALSE()),CONCATENATE(D423," cm"))</f>
        <v>37 (EU) / 23 (MP)</v>
      </c>
      <c r="L423" s="17" t="n">
        <f aca="false">E423</f>
        <v>35</v>
      </c>
    </row>
    <row r="424" customFormat="false" ht="15" hidden="false" customHeight="false" outlineLevel="0" collapsed="false">
      <c r="A424" s="12" t="s">
        <v>638</v>
      </c>
      <c r="B424" s="13" t="s">
        <v>505</v>
      </c>
      <c r="C424" s="14" t="s">
        <v>359</v>
      </c>
      <c r="D424" s="15" t="n">
        <v>38</v>
      </c>
      <c r="E424" s="16" t="n">
        <v>35</v>
      </c>
      <c r="F424" s="13" t="s">
        <v>51</v>
      </c>
      <c r="G424" s="15" t="n">
        <v>1</v>
      </c>
      <c r="H424" s="5" t="str">
        <f aca="false">SUBSTITUTE(A424,"MS","",1)</f>
        <v>54169</v>
      </c>
      <c r="I424" s="5" t="str">
        <f aca="false">VLOOKUP(F424,O:P,2,FALSE())</f>
        <v>Chaussures Alpin </v>
      </c>
      <c r="J424" s="5" t="str">
        <f aca="false">CONCATENATE(B424," ",C424)</f>
        <v>tecnica jr</v>
      </c>
      <c r="K424" s="5" t="str">
        <f aca="false">IF(D424&lt;80,VLOOKUP(D424,R:S,2,FALSE()),CONCATENATE(D424," cm"))</f>
        <v>38 (EU) / 24 (MP)</v>
      </c>
      <c r="L424" s="17" t="n">
        <f aca="false">E424</f>
        <v>35</v>
      </c>
    </row>
    <row r="425" customFormat="false" ht="15" hidden="false" customHeight="false" outlineLevel="0" collapsed="false">
      <c r="A425" s="12" t="s">
        <v>639</v>
      </c>
      <c r="B425" s="13" t="s">
        <v>505</v>
      </c>
      <c r="C425" s="14" t="s">
        <v>359</v>
      </c>
      <c r="D425" s="15" t="n">
        <v>38</v>
      </c>
      <c r="E425" s="16" t="n">
        <v>35</v>
      </c>
      <c r="F425" s="13" t="s">
        <v>51</v>
      </c>
      <c r="G425" s="15" t="n">
        <v>1</v>
      </c>
      <c r="H425" s="5" t="str">
        <f aca="false">SUBSTITUTE(A425,"MS","",1)</f>
        <v>54170</v>
      </c>
      <c r="I425" s="5" t="str">
        <f aca="false">VLOOKUP(F425,O:P,2,FALSE())</f>
        <v>Chaussures Alpin </v>
      </c>
      <c r="J425" s="5" t="str">
        <f aca="false">CONCATENATE(B425," ",C425)</f>
        <v>tecnica jr</v>
      </c>
      <c r="K425" s="5" t="str">
        <f aca="false">IF(D425&lt;80,VLOOKUP(D425,R:S,2,FALSE()),CONCATENATE(D425," cm"))</f>
        <v>38 (EU) / 24 (MP)</v>
      </c>
      <c r="L425" s="17" t="n">
        <f aca="false">E425</f>
        <v>35</v>
      </c>
    </row>
    <row r="426" customFormat="false" ht="15" hidden="false" customHeight="false" outlineLevel="0" collapsed="false">
      <c r="A426" s="12" t="s">
        <v>640</v>
      </c>
      <c r="B426" s="13" t="s">
        <v>505</v>
      </c>
      <c r="C426" s="14" t="s">
        <v>359</v>
      </c>
      <c r="D426" s="15" t="n">
        <v>38</v>
      </c>
      <c r="E426" s="16" t="n">
        <v>35</v>
      </c>
      <c r="F426" s="13" t="s">
        <v>51</v>
      </c>
      <c r="G426" s="15" t="n">
        <v>1</v>
      </c>
      <c r="H426" s="5" t="str">
        <f aca="false">SUBSTITUTE(A426,"MS","",1)</f>
        <v>54171</v>
      </c>
      <c r="I426" s="5" t="str">
        <f aca="false">VLOOKUP(F426,O:P,2,FALSE())</f>
        <v>Chaussures Alpin </v>
      </c>
      <c r="J426" s="5" t="str">
        <f aca="false">CONCATENATE(B426," ",C426)</f>
        <v>tecnica jr</v>
      </c>
      <c r="K426" s="5" t="str">
        <f aca="false">IF(D426&lt;80,VLOOKUP(D426,R:S,2,FALSE()),CONCATENATE(D426," cm"))</f>
        <v>38 (EU) / 24 (MP)</v>
      </c>
      <c r="L426" s="17" t="n">
        <f aca="false">E426</f>
        <v>35</v>
      </c>
    </row>
    <row r="427" customFormat="false" ht="15" hidden="false" customHeight="false" outlineLevel="0" collapsed="false">
      <c r="A427" s="12" t="s">
        <v>641</v>
      </c>
      <c r="B427" s="13" t="s">
        <v>515</v>
      </c>
      <c r="C427" s="14" t="s">
        <v>359</v>
      </c>
      <c r="D427" s="15" t="n">
        <v>38</v>
      </c>
      <c r="E427" s="16" t="n">
        <v>35</v>
      </c>
      <c r="F427" s="13" t="s">
        <v>51</v>
      </c>
      <c r="G427" s="15" t="n">
        <v>1</v>
      </c>
      <c r="H427" s="5" t="str">
        <f aca="false">SUBSTITUTE(A427,"MS","",1)</f>
        <v>54172</v>
      </c>
      <c r="I427" s="5" t="str">
        <f aca="false">VLOOKUP(F427,O:P,2,FALSE())</f>
        <v>Chaussures Alpin </v>
      </c>
      <c r="J427" s="5" t="str">
        <f aca="false">CONCATENATE(B427," ",C427)</f>
        <v>roxa jr</v>
      </c>
      <c r="K427" s="5" t="str">
        <f aca="false">IF(D427&lt;80,VLOOKUP(D427,R:S,2,FALSE()),CONCATENATE(D427," cm"))</f>
        <v>38 (EU) / 24 (MP)</v>
      </c>
      <c r="L427" s="17" t="n">
        <f aca="false">E427</f>
        <v>35</v>
      </c>
    </row>
    <row r="428" customFormat="false" ht="15" hidden="false" customHeight="false" outlineLevel="0" collapsed="false">
      <c r="A428" s="12" t="s">
        <v>642</v>
      </c>
      <c r="B428" s="13" t="s">
        <v>515</v>
      </c>
      <c r="C428" s="14" t="s">
        <v>359</v>
      </c>
      <c r="D428" s="15" t="n">
        <v>38</v>
      </c>
      <c r="E428" s="16" t="n">
        <v>35</v>
      </c>
      <c r="F428" s="13" t="s">
        <v>51</v>
      </c>
      <c r="G428" s="15" t="n">
        <v>1</v>
      </c>
      <c r="H428" s="5" t="str">
        <f aca="false">SUBSTITUTE(A428,"MS","",1)</f>
        <v>54173</v>
      </c>
      <c r="I428" s="5" t="str">
        <f aca="false">VLOOKUP(F428,O:P,2,FALSE())</f>
        <v>Chaussures Alpin </v>
      </c>
      <c r="J428" s="5" t="str">
        <f aca="false">CONCATENATE(B428," ",C428)</f>
        <v>roxa jr</v>
      </c>
      <c r="K428" s="5" t="str">
        <f aca="false">IF(D428&lt;80,VLOOKUP(D428,R:S,2,FALSE()),CONCATENATE(D428," cm"))</f>
        <v>38 (EU) / 24 (MP)</v>
      </c>
      <c r="L428" s="17" t="n">
        <f aca="false">E428</f>
        <v>35</v>
      </c>
    </row>
    <row r="429" customFormat="false" ht="15" hidden="false" customHeight="false" outlineLevel="0" collapsed="false">
      <c r="A429" s="12" t="s">
        <v>643</v>
      </c>
      <c r="B429" s="13" t="s">
        <v>492</v>
      </c>
      <c r="C429" s="14" t="s">
        <v>449</v>
      </c>
      <c r="D429" s="15" t="n">
        <v>38</v>
      </c>
      <c r="E429" s="16" t="n">
        <v>35</v>
      </c>
      <c r="F429" s="13" t="s">
        <v>51</v>
      </c>
      <c r="G429" s="15" t="n">
        <v>1</v>
      </c>
      <c r="H429" s="5" t="str">
        <f aca="false">SUBSTITUTE(A429,"MS","",1)</f>
        <v>54174</v>
      </c>
      <c r="I429" s="5" t="str">
        <f aca="false">VLOOKUP(F429,O:P,2,FALSE())</f>
        <v>Chaussures Alpin </v>
      </c>
      <c r="J429" s="5" t="str">
        <f aca="false">CONCATENATE(B429," ",C429)</f>
        <v>lange rs</v>
      </c>
      <c r="K429" s="5" t="str">
        <f aca="false">IF(D429&lt;80,VLOOKUP(D429,R:S,2,FALSE()),CONCATENATE(D429," cm"))</f>
        <v>38 (EU) / 24 (MP)</v>
      </c>
      <c r="L429" s="17" t="n">
        <f aca="false">E429</f>
        <v>35</v>
      </c>
    </row>
    <row r="430" customFormat="false" ht="15" hidden="false" customHeight="false" outlineLevel="0" collapsed="false">
      <c r="A430" s="12" t="s">
        <v>644</v>
      </c>
      <c r="B430" s="13" t="s">
        <v>358</v>
      </c>
      <c r="C430" s="14" t="s">
        <v>645</v>
      </c>
      <c r="D430" s="15" t="n">
        <v>39</v>
      </c>
      <c r="E430" s="16" t="n">
        <v>35</v>
      </c>
      <c r="F430" s="13" t="s">
        <v>51</v>
      </c>
      <c r="G430" s="15" t="n">
        <v>1</v>
      </c>
      <c r="H430" s="5" t="str">
        <f aca="false">SUBSTITUTE(A430,"MS","",1)</f>
        <v>54175</v>
      </c>
      <c r="I430" s="5" t="str">
        <f aca="false">VLOOKUP(F430,O:P,2,FALSE())</f>
        <v>Chaussures Alpin </v>
      </c>
      <c r="J430" s="5" t="str">
        <f aca="false">CONCATENATE(B430," ",C430)</f>
        <v>nordica gp</v>
      </c>
      <c r="K430" s="5" t="str">
        <f aca="false">IF(D430&lt;80,VLOOKUP(D430,R:S,2,FALSE()),CONCATENATE(D430," cm"))</f>
        <v>39 (EU) / 25 (MP)</v>
      </c>
      <c r="L430" s="17" t="n">
        <f aca="false">E430</f>
        <v>35</v>
      </c>
    </row>
    <row r="431" customFormat="false" ht="15" hidden="false" customHeight="false" outlineLevel="0" collapsed="false">
      <c r="A431" s="12" t="s">
        <v>646</v>
      </c>
      <c r="B431" s="13" t="s">
        <v>358</v>
      </c>
      <c r="C431" s="14" t="s">
        <v>645</v>
      </c>
      <c r="D431" s="15" t="n">
        <v>39</v>
      </c>
      <c r="E431" s="16" t="n">
        <v>35</v>
      </c>
      <c r="F431" s="13" t="s">
        <v>51</v>
      </c>
      <c r="G431" s="15" t="n">
        <v>1</v>
      </c>
      <c r="H431" s="5" t="str">
        <f aca="false">SUBSTITUTE(A431,"MS","",1)</f>
        <v>54176</v>
      </c>
      <c r="I431" s="5" t="str">
        <f aca="false">VLOOKUP(F431,O:P,2,FALSE())</f>
        <v>Chaussures Alpin </v>
      </c>
      <c r="J431" s="5" t="str">
        <f aca="false">CONCATENATE(B431," ",C431)</f>
        <v>nordica gp</v>
      </c>
      <c r="K431" s="5" t="str">
        <f aca="false">IF(D431&lt;80,VLOOKUP(D431,R:S,2,FALSE()),CONCATENATE(D431," cm"))</f>
        <v>39 (EU) / 25 (MP)</v>
      </c>
      <c r="L431" s="17" t="n">
        <f aca="false">E431</f>
        <v>35</v>
      </c>
    </row>
    <row r="432" customFormat="false" ht="15" hidden="false" customHeight="false" outlineLevel="0" collapsed="false">
      <c r="A432" s="12" t="s">
        <v>647</v>
      </c>
      <c r="B432" s="13" t="s">
        <v>492</v>
      </c>
      <c r="C432" s="14" t="s">
        <v>449</v>
      </c>
      <c r="D432" s="15" t="n">
        <v>39</v>
      </c>
      <c r="E432" s="16" t="n">
        <v>35</v>
      </c>
      <c r="F432" s="13" t="s">
        <v>51</v>
      </c>
      <c r="G432" s="15" t="n">
        <v>1</v>
      </c>
      <c r="H432" s="5" t="str">
        <f aca="false">SUBSTITUTE(A432,"MS","",1)</f>
        <v>54177</v>
      </c>
      <c r="I432" s="5" t="str">
        <f aca="false">VLOOKUP(F432,O:P,2,FALSE())</f>
        <v>Chaussures Alpin </v>
      </c>
      <c r="J432" s="5" t="str">
        <f aca="false">CONCATENATE(B432," ",C432)</f>
        <v>lange rs</v>
      </c>
      <c r="K432" s="5" t="str">
        <f aca="false">IF(D432&lt;80,VLOOKUP(D432,R:S,2,FALSE()),CONCATENATE(D432," cm"))</f>
        <v>39 (EU) / 25 (MP)</v>
      </c>
      <c r="L432" s="17" t="n">
        <f aca="false">E432</f>
        <v>35</v>
      </c>
    </row>
    <row r="433" customFormat="false" ht="15" hidden="false" customHeight="false" outlineLevel="0" collapsed="false">
      <c r="A433" s="12" t="s">
        <v>648</v>
      </c>
      <c r="B433" s="13" t="s">
        <v>505</v>
      </c>
      <c r="C433" s="14" t="s">
        <v>632</v>
      </c>
      <c r="D433" s="15" t="n">
        <v>39</v>
      </c>
      <c r="E433" s="16" t="n">
        <v>35</v>
      </c>
      <c r="F433" s="13" t="s">
        <v>51</v>
      </c>
      <c r="G433" s="15" t="n">
        <v>1</v>
      </c>
      <c r="H433" s="5" t="str">
        <f aca="false">SUBSTITUTE(A433,"MS","",1)</f>
        <v>54178</v>
      </c>
      <c r="I433" s="5" t="str">
        <f aca="false">VLOOKUP(F433,O:P,2,FALSE())</f>
        <v>Chaussures Alpin </v>
      </c>
      <c r="J433" s="5" t="str">
        <f aca="false">CONCATENATE(B433," ",C433)</f>
        <v>tecnica cochise</v>
      </c>
      <c r="K433" s="5" t="str">
        <f aca="false">IF(D433&lt;80,VLOOKUP(D433,R:S,2,FALSE()),CONCATENATE(D433," cm"))</f>
        <v>39 (EU) / 25 (MP)</v>
      </c>
      <c r="L433" s="17" t="n">
        <f aca="false">E433</f>
        <v>35</v>
      </c>
    </row>
    <row r="434" customFormat="false" ht="15" hidden="false" customHeight="false" outlineLevel="0" collapsed="false">
      <c r="A434" s="12" t="s">
        <v>649</v>
      </c>
      <c r="B434" s="13" t="s">
        <v>505</v>
      </c>
      <c r="C434" s="14" t="s">
        <v>632</v>
      </c>
      <c r="D434" s="15" t="n">
        <v>39</v>
      </c>
      <c r="E434" s="16" t="n">
        <v>35</v>
      </c>
      <c r="F434" s="13" t="s">
        <v>51</v>
      </c>
      <c r="G434" s="15" t="n">
        <v>1</v>
      </c>
      <c r="H434" s="5" t="str">
        <f aca="false">SUBSTITUTE(A434,"MS","",1)</f>
        <v>54179</v>
      </c>
      <c r="I434" s="5" t="str">
        <f aca="false">VLOOKUP(F434,O:P,2,FALSE())</f>
        <v>Chaussures Alpin </v>
      </c>
      <c r="J434" s="5" t="str">
        <f aca="false">CONCATENATE(B434," ",C434)</f>
        <v>tecnica cochise</v>
      </c>
      <c r="K434" s="5" t="str">
        <f aca="false">IF(D434&lt;80,VLOOKUP(D434,R:S,2,FALSE()),CONCATENATE(D434," cm"))</f>
        <v>39 (EU) / 25 (MP)</v>
      </c>
      <c r="L434" s="17" t="n">
        <f aca="false">E434</f>
        <v>35</v>
      </c>
    </row>
    <row r="435" customFormat="false" ht="15" hidden="false" customHeight="false" outlineLevel="0" collapsed="false">
      <c r="A435" s="12" t="s">
        <v>650</v>
      </c>
      <c r="B435" s="13" t="s">
        <v>505</v>
      </c>
      <c r="C435" s="14" t="s">
        <v>632</v>
      </c>
      <c r="D435" s="15" t="n">
        <v>39</v>
      </c>
      <c r="E435" s="16" t="n">
        <v>35</v>
      </c>
      <c r="F435" s="13" t="s">
        <v>51</v>
      </c>
      <c r="G435" s="15" t="n">
        <v>1</v>
      </c>
      <c r="H435" s="5" t="str">
        <f aca="false">SUBSTITUTE(A435,"MS","",1)</f>
        <v>54180</v>
      </c>
      <c r="I435" s="5" t="str">
        <f aca="false">VLOOKUP(F435,O:P,2,FALSE())</f>
        <v>Chaussures Alpin </v>
      </c>
      <c r="J435" s="5" t="str">
        <f aca="false">CONCATENATE(B435," ",C435)</f>
        <v>tecnica cochise</v>
      </c>
      <c r="K435" s="5" t="str">
        <f aca="false">IF(D435&lt;80,VLOOKUP(D435,R:S,2,FALSE()),CONCATENATE(D435," cm"))</f>
        <v>39 (EU) / 25 (MP)</v>
      </c>
      <c r="L435" s="17" t="n">
        <f aca="false">E435</f>
        <v>35</v>
      </c>
    </row>
    <row r="436" customFormat="false" ht="15" hidden="false" customHeight="false" outlineLevel="0" collapsed="false">
      <c r="A436" s="12" t="s">
        <v>651</v>
      </c>
      <c r="B436" s="13" t="s">
        <v>515</v>
      </c>
      <c r="C436" s="14" t="s">
        <v>652</v>
      </c>
      <c r="D436" s="15" t="n">
        <v>39</v>
      </c>
      <c r="E436" s="16" t="n">
        <v>35</v>
      </c>
      <c r="F436" s="13" t="s">
        <v>51</v>
      </c>
      <c r="G436" s="15" t="n">
        <v>1</v>
      </c>
      <c r="H436" s="5" t="str">
        <f aca="false">SUBSTITUTE(A436,"MS","",1)</f>
        <v>54181</v>
      </c>
      <c r="I436" s="5" t="str">
        <f aca="false">VLOOKUP(F436,O:P,2,FALSE())</f>
        <v>Chaussures Alpin </v>
      </c>
      <c r="J436" s="5" t="str">
        <f aca="false">CONCATENATE(B436," ",C436)</f>
        <v>roxa yeti</v>
      </c>
      <c r="K436" s="5" t="str">
        <f aca="false">IF(D436&lt;80,VLOOKUP(D436,R:S,2,FALSE()),CONCATENATE(D436," cm"))</f>
        <v>39 (EU) / 25 (MP)</v>
      </c>
      <c r="L436" s="17" t="n">
        <f aca="false">E436</f>
        <v>35</v>
      </c>
    </row>
    <row r="437" customFormat="false" ht="15" hidden="false" customHeight="false" outlineLevel="0" collapsed="false">
      <c r="A437" s="12" t="s">
        <v>653</v>
      </c>
      <c r="B437" s="13" t="s">
        <v>515</v>
      </c>
      <c r="C437" s="14" t="s">
        <v>652</v>
      </c>
      <c r="D437" s="15" t="n">
        <v>39</v>
      </c>
      <c r="E437" s="16" t="n">
        <v>35</v>
      </c>
      <c r="F437" s="13" t="s">
        <v>51</v>
      </c>
      <c r="G437" s="15" t="n">
        <v>1</v>
      </c>
      <c r="H437" s="5" t="str">
        <f aca="false">SUBSTITUTE(A437,"MS","",1)</f>
        <v>54182</v>
      </c>
      <c r="I437" s="5" t="str">
        <f aca="false">VLOOKUP(F437,O:P,2,FALSE())</f>
        <v>Chaussures Alpin </v>
      </c>
      <c r="J437" s="5" t="str">
        <f aca="false">CONCATENATE(B437," ",C437)</f>
        <v>roxa yeti</v>
      </c>
      <c r="K437" s="5" t="str">
        <f aca="false">IF(D437&lt;80,VLOOKUP(D437,R:S,2,FALSE()),CONCATENATE(D437," cm"))</f>
        <v>39 (EU) / 25 (MP)</v>
      </c>
      <c r="L437" s="17" t="n">
        <f aca="false">E437</f>
        <v>35</v>
      </c>
    </row>
    <row r="438" customFormat="false" ht="15" hidden="false" customHeight="false" outlineLevel="0" collapsed="false">
      <c r="A438" s="12" t="s">
        <v>654</v>
      </c>
      <c r="B438" s="13" t="s">
        <v>515</v>
      </c>
      <c r="C438" s="14" t="s">
        <v>652</v>
      </c>
      <c r="D438" s="15" t="n">
        <v>39</v>
      </c>
      <c r="E438" s="16" t="n">
        <v>35</v>
      </c>
      <c r="F438" s="13" t="s">
        <v>51</v>
      </c>
      <c r="G438" s="15" t="n">
        <v>1</v>
      </c>
      <c r="H438" s="5" t="str">
        <f aca="false">SUBSTITUTE(A438,"MS","",1)</f>
        <v>54183</v>
      </c>
      <c r="I438" s="5" t="str">
        <f aca="false">VLOOKUP(F438,O:P,2,FALSE())</f>
        <v>Chaussures Alpin </v>
      </c>
      <c r="J438" s="5" t="str">
        <f aca="false">CONCATENATE(B438," ",C438)</f>
        <v>roxa yeti</v>
      </c>
      <c r="K438" s="5" t="str">
        <f aca="false">IF(D438&lt;80,VLOOKUP(D438,R:S,2,FALSE()),CONCATENATE(D438," cm"))</f>
        <v>39 (EU) / 25 (MP)</v>
      </c>
      <c r="L438" s="17" t="n">
        <f aca="false">E438</f>
        <v>35</v>
      </c>
    </row>
    <row r="439" customFormat="false" ht="15" hidden="false" customHeight="false" outlineLevel="0" collapsed="false">
      <c r="A439" s="12" t="s">
        <v>655</v>
      </c>
      <c r="B439" s="13" t="s">
        <v>492</v>
      </c>
      <c r="C439" s="14" t="s">
        <v>503</v>
      </c>
      <c r="D439" s="15" t="n">
        <v>39</v>
      </c>
      <c r="E439" s="16" t="n">
        <v>35</v>
      </c>
      <c r="F439" s="13" t="s">
        <v>51</v>
      </c>
      <c r="G439" s="15" t="n">
        <v>1</v>
      </c>
      <c r="H439" s="5" t="str">
        <f aca="false">SUBSTITUTE(A439,"MS","",1)</f>
        <v>54184</v>
      </c>
      <c r="I439" s="5" t="str">
        <f aca="false">VLOOKUP(F439,O:P,2,FALSE())</f>
        <v>Chaussures Alpin </v>
      </c>
      <c r="J439" s="5" t="str">
        <f aca="false">CONCATENATE(B439," ",C439)</f>
        <v>lange lx</v>
      </c>
      <c r="K439" s="5" t="str">
        <f aca="false">IF(D439&lt;80,VLOOKUP(D439,R:S,2,FALSE()),CONCATENATE(D439," cm"))</f>
        <v>39 (EU) / 25 (MP)</v>
      </c>
      <c r="L439" s="17" t="n">
        <f aca="false">E439</f>
        <v>35</v>
      </c>
    </row>
    <row r="440" customFormat="false" ht="15" hidden="false" customHeight="false" outlineLevel="0" collapsed="false">
      <c r="A440" s="12" t="s">
        <v>656</v>
      </c>
      <c r="B440" s="13" t="s">
        <v>492</v>
      </c>
      <c r="C440" s="14" t="s">
        <v>503</v>
      </c>
      <c r="D440" s="15" t="n">
        <v>39</v>
      </c>
      <c r="E440" s="16" t="n">
        <v>35</v>
      </c>
      <c r="F440" s="13" t="s">
        <v>51</v>
      </c>
      <c r="G440" s="15" t="n">
        <v>1</v>
      </c>
      <c r="H440" s="5" t="str">
        <f aca="false">SUBSTITUTE(A440,"MS","",1)</f>
        <v>54185</v>
      </c>
      <c r="I440" s="5" t="str">
        <f aca="false">VLOOKUP(F440,O:P,2,FALSE())</f>
        <v>Chaussures Alpin </v>
      </c>
      <c r="J440" s="5" t="str">
        <f aca="false">CONCATENATE(B440," ",C440)</f>
        <v>lange lx</v>
      </c>
      <c r="K440" s="5" t="str">
        <f aca="false">IF(D440&lt;80,VLOOKUP(D440,R:S,2,FALSE()),CONCATENATE(D440," cm"))</f>
        <v>39 (EU) / 25 (MP)</v>
      </c>
      <c r="L440" s="17" t="n">
        <f aca="false">E440</f>
        <v>35</v>
      </c>
    </row>
    <row r="441" customFormat="false" ht="15" hidden="false" customHeight="false" outlineLevel="0" collapsed="false">
      <c r="A441" s="12" t="s">
        <v>657</v>
      </c>
      <c r="B441" s="13" t="s">
        <v>368</v>
      </c>
      <c r="C441" s="14" t="s">
        <v>658</v>
      </c>
      <c r="D441" s="15" t="n">
        <v>39</v>
      </c>
      <c r="E441" s="16" t="n">
        <v>29</v>
      </c>
      <c r="F441" s="13" t="s">
        <v>51</v>
      </c>
      <c r="G441" s="15" t="n">
        <v>1</v>
      </c>
      <c r="H441" s="5" t="str">
        <f aca="false">SUBSTITUTE(A441,"MS","",1)</f>
        <v>54186</v>
      </c>
      <c r="I441" s="5" t="str">
        <f aca="false">VLOOKUP(F441,O:P,2,FALSE())</f>
        <v>Chaussures Alpin </v>
      </c>
      <c r="J441" s="5" t="str">
        <f aca="false">CONCATENATE(B441," ",C441)</f>
        <v>rossignol fun</v>
      </c>
      <c r="K441" s="5" t="str">
        <f aca="false">IF(D441&lt;80,VLOOKUP(D441,R:S,2,FALSE()),CONCATENATE(D441," cm"))</f>
        <v>39 (EU) / 25 (MP)</v>
      </c>
      <c r="L441" s="17" t="n">
        <f aca="false">E441</f>
        <v>29</v>
      </c>
    </row>
    <row r="442" customFormat="false" ht="15" hidden="false" customHeight="false" outlineLevel="0" collapsed="false">
      <c r="A442" s="12" t="s">
        <v>659</v>
      </c>
      <c r="B442" s="13" t="s">
        <v>505</v>
      </c>
      <c r="C442" s="14" t="s">
        <v>632</v>
      </c>
      <c r="D442" s="15" t="n">
        <v>39</v>
      </c>
      <c r="E442" s="16" t="n">
        <v>35</v>
      </c>
      <c r="F442" s="13" t="s">
        <v>51</v>
      </c>
      <c r="G442" s="15" t="n">
        <v>1</v>
      </c>
      <c r="H442" s="5" t="str">
        <f aca="false">SUBSTITUTE(A442,"MS","",1)</f>
        <v>54187</v>
      </c>
      <c r="I442" s="5" t="str">
        <f aca="false">VLOOKUP(F442,O:P,2,FALSE())</f>
        <v>Chaussures Alpin </v>
      </c>
      <c r="J442" s="5" t="str">
        <f aca="false">CONCATENATE(B442," ",C442)</f>
        <v>tecnica cochise</v>
      </c>
      <c r="K442" s="5" t="str">
        <f aca="false">IF(D442&lt;80,VLOOKUP(D442,R:S,2,FALSE()),CONCATENATE(D442," cm"))</f>
        <v>39 (EU) / 25 (MP)</v>
      </c>
      <c r="L442" s="17" t="n">
        <f aca="false">E442</f>
        <v>35</v>
      </c>
    </row>
    <row r="443" customFormat="false" ht="15" hidden="false" customHeight="false" outlineLevel="0" collapsed="false">
      <c r="A443" s="12" t="s">
        <v>660</v>
      </c>
      <c r="B443" s="13" t="s">
        <v>492</v>
      </c>
      <c r="C443" s="14" t="s">
        <v>449</v>
      </c>
      <c r="D443" s="15" t="n">
        <v>41</v>
      </c>
      <c r="E443" s="16" t="n">
        <v>35</v>
      </c>
      <c r="F443" s="13" t="s">
        <v>51</v>
      </c>
      <c r="G443" s="15" t="n">
        <v>1</v>
      </c>
      <c r="H443" s="5" t="str">
        <f aca="false">SUBSTITUTE(A443,"MS","",1)</f>
        <v>54188</v>
      </c>
      <c r="I443" s="5" t="str">
        <f aca="false">VLOOKUP(F443,O:P,2,FALSE())</f>
        <v>Chaussures Alpin </v>
      </c>
      <c r="J443" s="5" t="str">
        <f aca="false">CONCATENATE(B443," ",C443)</f>
        <v>lange rs</v>
      </c>
      <c r="K443" s="5" t="str">
        <f aca="false">IF(D443&lt;80,VLOOKUP(D443,R:S,2,FALSE()),CONCATENATE(D443," cm"))</f>
        <v>41 (EU) / 26 (MP)</v>
      </c>
      <c r="L443" s="17" t="n">
        <f aca="false">E443</f>
        <v>35</v>
      </c>
    </row>
    <row r="444" customFormat="false" ht="15" hidden="false" customHeight="false" outlineLevel="0" collapsed="false">
      <c r="A444" s="12" t="s">
        <v>661</v>
      </c>
      <c r="B444" s="13" t="s">
        <v>492</v>
      </c>
      <c r="C444" s="14" t="s">
        <v>449</v>
      </c>
      <c r="D444" s="15" t="n">
        <v>41</v>
      </c>
      <c r="E444" s="16" t="n">
        <v>35</v>
      </c>
      <c r="F444" s="13" t="s">
        <v>51</v>
      </c>
      <c r="G444" s="15" t="n">
        <v>1</v>
      </c>
      <c r="H444" s="5" t="str">
        <f aca="false">SUBSTITUTE(A444,"MS","",1)</f>
        <v>54189</v>
      </c>
      <c r="I444" s="5" t="str">
        <f aca="false">VLOOKUP(F444,O:P,2,FALSE())</f>
        <v>Chaussures Alpin </v>
      </c>
      <c r="J444" s="5" t="str">
        <f aca="false">CONCATENATE(B444," ",C444)</f>
        <v>lange rs</v>
      </c>
      <c r="K444" s="5" t="str">
        <f aca="false">IF(D444&lt;80,VLOOKUP(D444,R:S,2,FALSE()),CONCATENATE(D444," cm"))</f>
        <v>41 (EU) / 26 (MP)</v>
      </c>
      <c r="L444" s="17" t="n">
        <f aca="false">E444</f>
        <v>35</v>
      </c>
    </row>
    <row r="445" customFormat="false" ht="15" hidden="false" customHeight="false" outlineLevel="0" collapsed="false">
      <c r="A445" s="12" t="s">
        <v>662</v>
      </c>
      <c r="B445" s="13" t="s">
        <v>499</v>
      </c>
      <c r="C445" s="14" t="s">
        <v>663</v>
      </c>
      <c r="D445" s="15" t="n">
        <v>41</v>
      </c>
      <c r="E445" s="16" t="n">
        <v>35</v>
      </c>
      <c r="F445" s="13" t="s">
        <v>51</v>
      </c>
      <c r="G445" s="15" t="n">
        <v>1</v>
      </c>
      <c r="H445" s="5" t="str">
        <f aca="false">SUBSTITUTE(A445,"MS","",1)</f>
        <v>54190</v>
      </c>
      <c r="I445" s="5" t="str">
        <f aca="false">VLOOKUP(F445,O:P,2,FALSE())</f>
        <v>Chaussures Alpin </v>
      </c>
      <c r="J445" s="5" t="str">
        <f aca="false">CONCATENATE(B445," ",C445)</f>
        <v>dalbello gaia</v>
      </c>
      <c r="K445" s="5" t="str">
        <f aca="false">IF(D445&lt;80,VLOOKUP(D445,R:S,2,FALSE()),CONCATENATE(D445," cm"))</f>
        <v>41 (EU) / 26 (MP)</v>
      </c>
      <c r="L445" s="17" t="n">
        <f aca="false">E445</f>
        <v>35</v>
      </c>
    </row>
    <row r="446" customFormat="false" ht="15" hidden="false" customHeight="false" outlineLevel="0" collapsed="false">
      <c r="A446" s="12" t="s">
        <v>664</v>
      </c>
      <c r="B446" s="13" t="s">
        <v>368</v>
      </c>
      <c r="C446" s="14" t="s">
        <v>41</v>
      </c>
      <c r="D446" s="15" t="n">
        <v>40</v>
      </c>
      <c r="E446" s="16" t="n">
        <v>35</v>
      </c>
      <c r="F446" s="13" t="s">
        <v>51</v>
      </c>
      <c r="G446" s="15" t="n">
        <v>1</v>
      </c>
      <c r="H446" s="5" t="str">
        <f aca="false">SUBSTITUTE(A446,"MS","",1)</f>
        <v>54191</v>
      </c>
      <c r="I446" s="5" t="str">
        <f aca="false">VLOOKUP(F446,O:P,2,FALSE())</f>
        <v>Chaussures Alpin </v>
      </c>
      <c r="J446" s="5" t="str">
        <f aca="false">CONCATENATE(B446," ",C446)</f>
        <v>rossignol hero</v>
      </c>
      <c r="K446" s="5" t="str">
        <f aca="false">IF(D446&lt;80,VLOOKUP(D446,R:S,2,FALSE()),CONCATENATE(D446," cm"))</f>
        <v>40 (EU) / 25 (MP)</v>
      </c>
      <c r="L446" s="17" t="n">
        <f aca="false">E446</f>
        <v>35</v>
      </c>
    </row>
    <row r="447" customFormat="false" ht="15" hidden="false" customHeight="false" outlineLevel="0" collapsed="false">
      <c r="A447" s="12" t="s">
        <v>665</v>
      </c>
      <c r="B447" s="13" t="s">
        <v>515</v>
      </c>
      <c r="C447" s="14" t="s">
        <v>652</v>
      </c>
      <c r="D447" s="15" t="n">
        <v>41</v>
      </c>
      <c r="E447" s="16" t="n">
        <v>35</v>
      </c>
      <c r="F447" s="13" t="s">
        <v>51</v>
      </c>
      <c r="G447" s="15" t="n">
        <v>1</v>
      </c>
      <c r="H447" s="5" t="str">
        <f aca="false">SUBSTITUTE(A447,"MS","",1)</f>
        <v>54192</v>
      </c>
      <c r="I447" s="5" t="str">
        <f aca="false">VLOOKUP(F447,O:P,2,FALSE())</f>
        <v>Chaussures Alpin </v>
      </c>
      <c r="J447" s="5" t="str">
        <f aca="false">CONCATENATE(B447," ",C447)</f>
        <v>roxa yeti</v>
      </c>
      <c r="K447" s="5" t="str">
        <f aca="false">IF(D447&lt;80,VLOOKUP(D447,R:S,2,FALSE()),CONCATENATE(D447," cm"))</f>
        <v>41 (EU) / 26 (MP)</v>
      </c>
      <c r="L447" s="17" t="n">
        <f aca="false">E447</f>
        <v>35</v>
      </c>
    </row>
    <row r="448" customFormat="false" ht="15" hidden="false" customHeight="false" outlineLevel="0" collapsed="false">
      <c r="A448" s="12" t="s">
        <v>666</v>
      </c>
      <c r="B448" s="13" t="s">
        <v>515</v>
      </c>
      <c r="C448" s="14" t="s">
        <v>652</v>
      </c>
      <c r="D448" s="15" t="n">
        <v>41</v>
      </c>
      <c r="E448" s="16" t="n">
        <v>35</v>
      </c>
      <c r="F448" s="13" t="s">
        <v>51</v>
      </c>
      <c r="G448" s="15" t="n">
        <v>1</v>
      </c>
      <c r="H448" s="5" t="str">
        <f aca="false">SUBSTITUTE(A448,"MS","",1)</f>
        <v>54193</v>
      </c>
      <c r="I448" s="5" t="str">
        <f aca="false">VLOOKUP(F448,O:P,2,FALSE())</f>
        <v>Chaussures Alpin </v>
      </c>
      <c r="J448" s="5" t="str">
        <f aca="false">CONCATENATE(B448," ",C448)</f>
        <v>roxa yeti</v>
      </c>
      <c r="K448" s="5" t="str">
        <f aca="false">IF(D448&lt;80,VLOOKUP(D448,R:S,2,FALSE()),CONCATENATE(D448," cm"))</f>
        <v>41 (EU) / 26 (MP)</v>
      </c>
      <c r="L448" s="17" t="n">
        <f aca="false">E448</f>
        <v>35</v>
      </c>
    </row>
    <row r="449" customFormat="false" ht="15" hidden="false" customHeight="false" outlineLevel="0" collapsed="false">
      <c r="A449" s="12" t="s">
        <v>667</v>
      </c>
      <c r="B449" s="13" t="s">
        <v>505</v>
      </c>
      <c r="C449" s="14" t="s">
        <v>632</v>
      </c>
      <c r="D449" s="15" t="n">
        <v>40</v>
      </c>
      <c r="E449" s="16" t="n">
        <v>35</v>
      </c>
      <c r="F449" s="13" t="s">
        <v>51</v>
      </c>
      <c r="G449" s="15" t="n">
        <v>1</v>
      </c>
      <c r="H449" s="5" t="str">
        <f aca="false">SUBSTITUTE(A449,"MS","",1)</f>
        <v>54194</v>
      </c>
      <c r="I449" s="5" t="str">
        <f aca="false">VLOOKUP(F449,O:P,2,FALSE())</f>
        <v>Chaussures Alpin </v>
      </c>
      <c r="J449" s="5" t="str">
        <f aca="false">CONCATENATE(B449," ",C449)</f>
        <v>tecnica cochise</v>
      </c>
      <c r="K449" s="5" t="str">
        <f aca="false">IF(D449&lt;80,VLOOKUP(D449,R:S,2,FALSE()),CONCATENATE(D449," cm"))</f>
        <v>40 (EU) / 25 (MP)</v>
      </c>
      <c r="L449" s="17" t="n">
        <f aca="false">E449</f>
        <v>35</v>
      </c>
    </row>
    <row r="450" customFormat="false" ht="15" hidden="false" customHeight="false" outlineLevel="0" collapsed="false">
      <c r="A450" s="12" t="s">
        <v>668</v>
      </c>
      <c r="B450" s="13" t="s">
        <v>505</v>
      </c>
      <c r="C450" s="14" t="s">
        <v>632</v>
      </c>
      <c r="D450" s="15" t="n">
        <v>40</v>
      </c>
      <c r="E450" s="16" t="n">
        <v>35</v>
      </c>
      <c r="F450" s="13" t="s">
        <v>51</v>
      </c>
      <c r="G450" s="15" t="n">
        <v>1</v>
      </c>
      <c r="H450" s="5" t="str">
        <f aca="false">SUBSTITUTE(A450,"MS","",1)</f>
        <v>54195</v>
      </c>
      <c r="I450" s="5" t="str">
        <f aca="false">VLOOKUP(F450,O:P,2,FALSE())</f>
        <v>Chaussures Alpin </v>
      </c>
      <c r="J450" s="5" t="str">
        <f aca="false">CONCATENATE(B450," ",C450)</f>
        <v>tecnica cochise</v>
      </c>
      <c r="K450" s="5" t="str">
        <f aca="false">IF(D450&lt;80,VLOOKUP(D450,R:S,2,FALSE()),CONCATENATE(D450," cm"))</f>
        <v>40 (EU) / 25 (MP)</v>
      </c>
      <c r="L450" s="17" t="n">
        <f aca="false">E450</f>
        <v>35</v>
      </c>
    </row>
    <row r="451" customFormat="false" ht="15" hidden="false" customHeight="false" outlineLevel="0" collapsed="false">
      <c r="A451" s="12" t="s">
        <v>669</v>
      </c>
      <c r="B451" s="13" t="s">
        <v>505</v>
      </c>
      <c r="C451" s="14" t="s">
        <v>632</v>
      </c>
      <c r="D451" s="15" t="n">
        <v>41</v>
      </c>
      <c r="E451" s="16" t="n">
        <v>35</v>
      </c>
      <c r="F451" s="13" t="s">
        <v>51</v>
      </c>
      <c r="G451" s="15" t="n">
        <v>1</v>
      </c>
      <c r="H451" s="5" t="str">
        <f aca="false">SUBSTITUTE(A451,"MS","",1)</f>
        <v>54196</v>
      </c>
      <c r="I451" s="5" t="str">
        <f aca="false">VLOOKUP(F451,O:P,2,FALSE())</f>
        <v>Chaussures Alpin </v>
      </c>
      <c r="J451" s="5" t="str">
        <f aca="false">CONCATENATE(B451," ",C451)</f>
        <v>tecnica cochise</v>
      </c>
      <c r="K451" s="5" t="str">
        <f aca="false">IF(D451&lt;80,VLOOKUP(D451,R:S,2,FALSE()),CONCATENATE(D451," cm"))</f>
        <v>41 (EU) / 26 (MP)</v>
      </c>
      <c r="L451" s="17" t="n">
        <f aca="false">E451</f>
        <v>35</v>
      </c>
    </row>
    <row r="452" customFormat="false" ht="15" hidden="false" customHeight="false" outlineLevel="0" collapsed="false">
      <c r="A452" s="12" t="s">
        <v>670</v>
      </c>
      <c r="B452" s="13" t="s">
        <v>337</v>
      </c>
      <c r="C452" s="14" t="s">
        <v>359</v>
      </c>
      <c r="D452" s="15" t="n">
        <v>40</v>
      </c>
      <c r="E452" s="16" t="n">
        <v>35</v>
      </c>
      <c r="F452" s="13" t="s">
        <v>51</v>
      </c>
      <c r="G452" s="15" t="n">
        <v>1</v>
      </c>
      <c r="H452" s="5" t="str">
        <f aca="false">SUBSTITUTE(A452,"MS","",1)</f>
        <v>54197</v>
      </c>
      <c r="I452" s="5" t="str">
        <f aca="false">VLOOKUP(F452,O:P,2,FALSE())</f>
        <v>Chaussures Alpin </v>
      </c>
      <c r="J452" s="5" t="str">
        <f aca="false">CONCATENATE(B452," ",C452)</f>
        <v>fischer jr</v>
      </c>
      <c r="K452" s="5" t="str">
        <f aca="false">IF(D452&lt;80,VLOOKUP(D452,R:S,2,FALSE()),CONCATENATE(D452," cm"))</f>
        <v>40 (EU) / 25 (MP)</v>
      </c>
      <c r="L452" s="17" t="n">
        <f aca="false">E452</f>
        <v>35</v>
      </c>
    </row>
    <row r="453" customFormat="false" ht="15" hidden="false" customHeight="false" outlineLevel="0" collapsed="false">
      <c r="A453" s="12" t="s">
        <v>671</v>
      </c>
      <c r="B453" s="13" t="s">
        <v>505</v>
      </c>
      <c r="C453" s="14" t="s">
        <v>632</v>
      </c>
      <c r="D453" s="15" t="n">
        <v>42</v>
      </c>
      <c r="E453" s="16" t="n">
        <v>35</v>
      </c>
      <c r="F453" s="13" t="s">
        <v>51</v>
      </c>
      <c r="G453" s="15" t="n">
        <v>1</v>
      </c>
      <c r="H453" s="5" t="str">
        <f aca="false">SUBSTITUTE(A453,"MS","",1)</f>
        <v>54198</v>
      </c>
      <c r="I453" s="5" t="str">
        <f aca="false">VLOOKUP(F453,O:P,2,FALSE())</f>
        <v>Chaussures Alpin </v>
      </c>
      <c r="J453" s="5" t="str">
        <f aca="false">CONCATENATE(B453," ",C453)</f>
        <v>tecnica cochise</v>
      </c>
      <c r="K453" s="5" t="str">
        <f aca="false">IF(D453&lt;80,VLOOKUP(D453,R:S,2,FALSE()),CONCATENATE(D453," cm"))</f>
        <v>42 (EU) / 26 (MP)</v>
      </c>
      <c r="L453" s="17" t="n">
        <f aca="false">E453</f>
        <v>35</v>
      </c>
    </row>
    <row r="454" customFormat="false" ht="15" hidden="false" customHeight="false" outlineLevel="0" collapsed="false">
      <c r="A454" s="12" t="s">
        <v>672</v>
      </c>
      <c r="B454" s="13" t="s">
        <v>444</v>
      </c>
      <c r="C454" s="14" t="s">
        <v>138</v>
      </c>
      <c r="D454" s="15" t="n">
        <v>36</v>
      </c>
      <c r="E454" s="16" t="n">
        <v>35</v>
      </c>
      <c r="F454" s="13" t="s">
        <v>51</v>
      </c>
      <c r="G454" s="15" t="n">
        <v>1</v>
      </c>
      <c r="H454" s="5" t="str">
        <f aca="false">SUBSTITUTE(A454,"MS","",1)</f>
        <v>54199</v>
      </c>
      <c r="I454" s="5" t="str">
        <f aca="false">VLOOKUP(F454,O:P,2,FALSE())</f>
        <v>Chaussures Alpin </v>
      </c>
      <c r="J454" s="5" t="str">
        <f aca="false">CONCATENATE(B454," ",C454)</f>
        <v>salomon max</v>
      </c>
      <c r="K454" s="5" t="str">
        <f aca="false">IF(D454&lt;80,VLOOKUP(D454,R:S,2,FALSE()),CONCATENATE(D454," cm"))</f>
        <v>36 (EU) / 23 (MP)</v>
      </c>
      <c r="L454" s="17" t="n">
        <f aca="false">E454</f>
        <v>35</v>
      </c>
    </row>
    <row r="455" customFormat="false" ht="15" hidden="false" customHeight="false" outlineLevel="0" collapsed="false">
      <c r="A455" s="12" t="s">
        <v>673</v>
      </c>
      <c r="B455" s="13" t="s">
        <v>444</v>
      </c>
      <c r="C455" s="14" t="s">
        <v>624</v>
      </c>
      <c r="D455" s="15" t="n">
        <v>36</v>
      </c>
      <c r="E455" s="16" t="n">
        <v>35</v>
      </c>
      <c r="F455" s="13" t="s">
        <v>51</v>
      </c>
      <c r="G455" s="15" t="n">
        <v>1</v>
      </c>
      <c r="H455" s="5" t="str">
        <f aca="false">SUBSTITUTE(A455,"MS","",1)</f>
        <v>54200</v>
      </c>
      <c r="I455" s="5" t="str">
        <f aca="false">VLOOKUP(F455,O:P,2,FALSE())</f>
        <v>Chaussures Alpin </v>
      </c>
      <c r="J455" s="5" t="str">
        <f aca="false">CONCATENATE(B455," ",C455)</f>
        <v>salomon quest</v>
      </c>
      <c r="K455" s="5" t="str">
        <f aca="false">IF(D455&lt;80,VLOOKUP(D455,R:S,2,FALSE()),CONCATENATE(D455," cm"))</f>
        <v>36 (EU) / 23 (MP)</v>
      </c>
      <c r="L455" s="17" t="n">
        <f aca="false">E455</f>
        <v>35</v>
      </c>
    </row>
    <row r="456" customFormat="false" ht="15" hidden="false" customHeight="false" outlineLevel="0" collapsed="false">
      <c r="A456" s="12" t="s">
        <v>674</v>
      </c>
      <c r="B456" s="13" t="s">
        <v>444</v>
      </c>
      <c r="C456" s="14" t="s">
        <v>624</v>
      </c>
      <c r="D456" s="15" t="n">
        <v>36</v>
      </c>
      <c r="E456" s="16" t="n">
        <v>35</v>
      </c>
      <c r="F456" s="13" t="s">
        <v>51</v>
      </c>
      <c r="G456" s="15" t="n">
        <v>1</v>
      </c>
      <c r="H456" s="5" t="str">
        <f aca="false">SUBSTITUTE(A456,"MS","",1)</f>
        <v>54201</v>
      </c>
      <c r="I456" s="5" t="str">
        <f aca="false">VLOOKUP(F456,O:P,2,FALSE())</f>
        <v>Chaussures Alpin </v>
      </c>
      <c r="J456" s="5" t="str">
        <f aca="false">CONCATENATE(B456," ",C456)</f>
        <v>salomon quest</v>
      </c>
      <c r="K456" s="5" t="str">
        <f aca="false">IF(D456&lt;80,VLOOKUP(D456,R:S,2,FALSE()),CONCATENATE(D456," cm"))</f>
        <v>36 (EU) / 23 (MP)</v>
      </c>
      <c r="L456" s="17" t="n">
        <f aca="false">E456</f>
        <v>35</v>
      </c>
    </row>
    <row r="457" customFormat="false" ht="15" hidden="false" customHeight="false" outlineLevel="0" collapsed="false">
      <c r="A457" s="12" t="s">
        <v>675</v>
      </c>
      <c r="B457" s="13" t="s">
        <v>240</v>
      </c>
      <c r="C457" s="14" t="s">
        <v>676</v>
      </c>
      <c r="D457" s="15" t="n">
        <v>36</v>
      </c>
      <c r="E457" s="16" t="n">
        <v>35</v>
      </c>
      <c r="F457" s="13" t="s">
        <v>51</v>
      </c>
      <c r="G457" s="15" t="n">
        <v>1</v>
      </c>
      <c r="H457" s="5" t="str">
        <f aca="false">SUBSTITUTE(A457,"MS","",1)</f>
        <v>54202</v>
      </c>
      <c r="I457" s="5" t="str">
        <f aca="false">VLOOKUP(F457,O:P,2,FALSE())</f>
        <v>Chaussures Alpin </v>
      </c>
      <c r="J457" s="5" t="str">
        <f aca="false">CONCATENATE(B457," ",C457)</f>
        <v>head raptor</v>
      </c>
      <c r="K457" s="5" t="str">
        <f aca="false">IF(D457&lt;80,VLOOKUP(D457,R:S,2,FALSE()),CONCATENATE(D457," cm"))</f>
        <v>36 (EU) / 23 (MP)</v>
      </c>
      <c r="L457" s="17" t="n">
        <f aca="false">E457</f>
        <v>35</v>
      </c>
    </row>
    <row r="458" customFormat="false" ht="15" hidden="false" customHeight="false" outlineLevel="0" collapsed="false">
      <c r="A458" s="12" t="s">
        <v>677</v>
      </c>
      <c r="B458" s="13" t="s">
        <v>515</v>
      </c>
      <c r="C458" s="14" t="s">
        <v>652</v>
      </c>
      <c r="D458" s="15" t="n">
        <v>36</v>
      </c>
      <c r="E458" s="16" t="n">
        <v>35</v>
      </c>
      <c r="F458" s="13" t="s">
        <v>51</v>
      </c>
      <c r="G458" s="15" t="n">
        <v>1</v>
      </c>
      <c r="H458" s="5" t="str">
        <f aca="false">SUBSTITUTE(A458,"MS","",1)</f>
        <v>54203</v>
      </c>
      <c r="I458" s="5" t="str">
        <f aca="false">VLOOKUP(F458,O:P,2,FALSE())</f>
        <v>Chaussures Alpin </v>
      </c>
      <c r="J458" s="5" t="str">
        <f aca="false">CONCATENATE(B458," ",C458)</f>
        <v>roxa yeti</v>
      </c>
      <c r="K458" s="5" t="str">
        <f aca="false">IF(D458&lt;80,VLOOKUP(D458,R:S,2,FALSE()),CONCATENATE(D458," cm"))</f>
        <v>36 (EU) / 23 (MP)</v>
      </c>
      <c r="L458" s="17" t="n">
        <f aca="false">E458</f>
        <v>35</v>
      </c>
    </row>
    <row r="459" customFormat="false" ht="15" hidden="false" customHeight="false" outlineLevel="0" collapsed="false">
      <c r="A459" s="12" t="s">
        <v>678</v>
      </c>
      <c r="B459" s="13" t="s">
        <v>492</v>
      </c>
      <c r="C459" s="14" t="s">
        <v>449</v>
      </c>
      <c r="D459" s="15" t="n">
        <v>36</v>
      </c>
      <c r="E459" s="16" t="n">
        <v>35</v>
      </c>
      <c r="F459" s="13" t="s">
        <v>51</v>
      </c>
      <c r="G459" s="15" t="n">
        <v>1</v>
      </c>
      <c r="H459" s="5" t="str">
        <f aca="false">SUBSTITUTE(A459,"MS","",1)</f>
        <v>54204</v>
      </c>
      <c r="I459" s="5" t="str">
        <f aca="false">VLOOKUP(F459,O:P,2,FALSE())</f>
        <v>Chaussures Alpin </v>
      </c>
      <c r="J459" s="5" t="str">
        <f aca="false">CONCATENATE(B459," ",C459)</f>
        <v>lange rs</v>
      </c>
      <c r="K459" s="5" t="str">
        <f aca="false">IF(D459&lt;80,VLOOKUP(D459,R:S,2,FALSE()),CONCATENATE(D459," cm"))</f>
        <v>36 (EU) / 23 (MP)</v>
      </c>
      <c r="L459" s="17" t="n">
        <f aca="false">E459</f>
        <v>35</v>
      </c>
    </row>
    <row r="460" customFormat="false" ht="15" hidden="false" customHeight="false" outlineLevel="0" collapsed="false">
      <c r="A460" s="12" t="s">
        <v>679</v>
      </c>
      <c r="B460" s="13" t="s">
        <v>492</v>
      </c>
      <c r="C460" s="14" t="s">
        <v>449</v>
      </c>
      <c r="D460" s="15" t="n">
        <v>36</v>
      </c>
      <c r="E460" s="16" t="n">
        <v>35</v>
      </c>
      <c r="F460" s="13" t="s">
        <v>51</v>
      </c>
      <c r="G460" s="15" t="n">
        <v>1</v>
      </c>
      <c r="H460" s="5" t="str">
        <f aca="false">SUBSTITUTE(A460,"MS","",1)</f>
        <v>54205</v>
      </c>
      <c r="I460" s="5" t="str">
        <f aca="false">VLOOKUP(F460,O:P,2,FALSE())</f>
        <v>Chaussures Alpin </v>
      </c>
      <c r="J460" s="5" t="str">
        <f aca="false">CONCATENATE(B460," ",C460)</f>
        <v>lange rs</v>
      </c>
      <c r="K460" s="5" t="str">
        <f aca="false">IF(D460&lt;80,VLOOKUP(D460,R:S,2,FALSE()),CONCATENATE(D460," cm"))</f>
        <v>36 (EU) / 23 (MP)</v>
      </c>
      <c r="L460" s="17" t="n">
        <f aca="false">E460</f>
        <v>35</v>
      </c>
    </row>
    <row r="461" customFormat="false" ht="15" hidden="false" customHeight="false" outlineLevel="0" collapsed="false">
      <c r="A461" s="12" t="s">
        <v>680</v>
      </c>
      <c r="B461" s="13" t="s">
        <v>492</v>
      </c>
      <c r="C461" s="14" t="s">
        <v>449</v>
      </c>
      <c r="D461" s="15" t="n">
        <v>36</v>
      </c>
      <c r="E461" s="16" t="n">
        <v>35</v>
      </c>
      <c r="F461" s="13" t="s">
        <v>51</v>
      </c>
      <c r="G461" s="15" t="n">
        <v>1</v>
      </c>
      <c r="H461" s="5" t="str">
        <f aca="false">SUBSTITUTE(A461,"MS","",1)</f>
        <v>54206</v>
      </c>
      <c r="I461" s="5" t="str">
        <f aca="false">VLOOKUP(F461,O:P,2,FALSE())</f>
        <v>Chaussures Alpin </v>
      </c>
      <c r="J461" s="5" t="str">
        <f aca="false">CONCATENATE(B461," ",C461)</f>
        <v>lange rs</v>
      </c>
      <c r="K461" s="5" t="str">
        <f aca="false">IF(D461&lt;80,VLOOKUP(D461,R:S,2,FALSE()),CONCATENATE(D461," cm"))</f>
        <v>36 (EU) / 23 (MP)</v>
      </c>
      <c r="L461" s="17" t="n">
        <f aca="false">E461</f>
        <v>35</v>
      </c>
    </row>
    <row r="462" customFormat="false" ht="15" hidden="false" customHeight="false" outlineLevel="0" collapsed="false">
      <c r="A462" s="12" t="s">
        <v>681</v>
      </c>
      <c r="B462" s="13" t="s">
        <v>505</v>
      </c>
      <c r="C462" s="14" t="s">
        <v>632</v>
      </c>
      <c r="D462" s="15" t="n">
        <v>36</v>
      </c>
      <c r="E462" s="16" t="n">
        <v>35</v>
      </c>
      <c r="F462" s="13" t="s">
        <v>51</v>
      </c>
      <c r="G462" s="15" t="n">
        <v>1</v>
      </c>
      <c r="H462" s="5" t="str">
        <f aca="false">SUBSTITUTE(A462,"MS","",1)</f>
        <v>54207</v>
      </c>
      <c r="I462" s="5" t="str">
        <f aca="false">VLOOKUP(F462,O:P,2,FALSE())</f>
        <v>Chaussures Alpin </v>
      </c>
      <c r="J462" s="5" t="str">
        <f aca="false">CONCATENATE(B462," ",C462)</f>
        <v>tecnica cochise</v>
      </c>
      <c r="K462" s="5" t="str">
        <f aca="false">IF(D462&lt;80,VLOOKUP(D462,R:S,2,FALSE()),CONCATENATE(D462," cm"))</f>
        <v>36 (EU) / 23 (MP)</v>
      </c>
      <c r="L462" s="17" t="n">
        <f aca="false">E462</f>
        <v>35</v>
      </c>
    </row>
    <row r="463" customFormat="false" ht="15" hidden="false" customHeight="false" outlineLevel="0" collapsed="false">
      <c r="A463" s="12" t="s">
        <v>682</v>
      </c>
      <c r="B463" s="13" t="s">
        <v>505</v>
      </c>
      <c r="C463" s="14" t="s">
        <v>632</v>
      </c>
      <c r="D463" s="15" t="n">
        <v>36</v>
      </c>
      <c r="E463" s="16" t="n">
        <v>35</v>
      </c>
      <c r="F463" s="13" t="s">
        <v>51</v>
      </c>
      <c r="G463" s="15" t="n">
        <v>1</v>
      </c>
      <c r="H463" s="5" t="str">
        <f aca="false">SUBSTITUTE(A463,"MS","",1)</f>
        <v>54208</v>
      </c>
      <c r="I463" s="5" t="str">
        <f aca="false">VLOOKUP(F463,O:P,2,FALSE())</f>
        <v>Chaussures Alpin </v>
      </c>
      <c r="J463" s="5" t="str">
        <f aca="false">CONCATENATE(B463," ",C463)</f>
        <v>tecnica cochise</v>
      </c>
      <c r="K463" s="5" t="str">
        <f aca="false">IF(D463&lt;80,VLOOKUP(D463,R:S,2,FALSE()),CONCATENATE(D463," cm"))</f>
        <v>36 (EU) / 23 (MP)</v>
      </c>
      <c r="L463" s="17" t="n">
        <f aca="false">E463</f>
        <v>35</v>
      </c>
    </row>
    <row r="464" customFormat="false" ht="15" hidden="false" customHeight="false" outlineLevel="0" collapsed="false">
      <c r="A464" s="12" t="s">
        <v>683</v>
      </c>
      <c r="B464" s="13" t="s">
        <v>368</v>
      </c>
      <c r="C464" s="14" t="s">
        <v>41</v>
      </c>
      <c r="D464" s="15" t="n">
        <v>36</v>
      </c>
      <c r="E464" s="16" t="n">
        <v>35</v>
      </c>
      <c r="F464" s="13" t="s">
        <v>51</v>
      </c>
      <c r="G464" s="15" t="n">
        <v>1</v>
      </c>
      <c r="H464" s="5" t="str">
        <f aca="false">SUBSTITUTE(A464,"MS","",1)</f>
        <v>54209</v>
      </c>
      <c r="I464" s="5" t="str">
        <f aca="false">VLOOKUP(F464,O:P,2,FALSE())</f>
        <v>Chaussures Alpin </v>
      </c>
      <c r="J464" s="5" t="str">
        <f aca="false">CONCATENATE(B464," ",C464)</f>
        <v>rossignol hero</v>
      </c>
      <c r="K464" s="5" t="str">
        <f aca="false">IF(D464&lt;80,VLOOKUP(D464,R:S,2,FALSE()),CONCATENATE(D464," cm"))</f>
        <v>36 (EU) / 23 (MP)</v>
      </c>
      <c r="L464" s="17" t="n">
        <f aca="false">E464</f>
        <v>35</v>
      </c>
    </row>
    <row r="465" customFormat="false" ht="15" hidden="false" customHeight="false" outlineLevel="0" collapsed="false">
      <c r="A465" s="12" t="s">
        <v>684</v>
      </c>
      <c r="B465" s="13" t="s">
        <v>368</v>
      </c>
      <c r="C465" s="14" t="s">
        <v>41</v>
      </c>
      <c r="D465" s="15" t="n">
        <v>36</v>
      </c>
      <c r="E465" s="16" t="n">
        <v>35</v>
      </c>
      <c r="F465" s="13" t="s">
        <v>51</v>
      </c>
      <c r="G465" s="15" t="n">
        <v>1</v>
      </c>
      <c r="H465" s="5" t="str">
        <f aca="false">SUBSTITUTE(A465,"MS","",1)</f>
        <v>54210</v>
      </c>
      <c r="I465" s="5" t="str">
        <f aca="false">VLOOKUP(F465,O:P,2,FALSE())</f>
        <v>Chaussures Alpin </v>
      </c>
      <c r="J465" s="5" t="str">
        <f aca="false">CONCATENATE(B465," ",C465)</f>
        <v>rossignol hero</v>
      </c>
      <c r="K465" s="5" t="str">
        <f aca="false">IF(D465&lt;80,VLOOKUP(D465,R:S,2,FALSE()),CONCATENATE(D465," cm"))</f>
        <v>36 (EU) / 23 (MP)</v>
      </c>
      <c r="L465" s="17" t="n">
        <f aca="false">E465</f>
        <v>35</v>
      </c>
    </row>
    <row r="466" customFormat="false" ht="15" hidden="false" customHeight="false" outlineLevel="0" collapsed="false">
      <c r="A466" s="12" t="s">
        <v>685</v>
      </c>
      <c r="B466" s="13" t="s">
        <v>358</v>
      </c>
      <c r="C466" s="14" t="s">
        <v>645</v>
      </c>
      <c r="D466" s="15" t="n">
        <v>36</v>
      </c>
      <c r="E466" s="16" t="n">
        <v>29</v>
      </c>
      <c r="F466" s="13" t="s">
        <v>51</v>
      </c>
      <c r="G466" s="15" t="n">
        <v>1</v>
      </c>
      <c r="H466" s="5" t="str">
        <f aca="false">SUBSTITUTE(A466,"MS","",1)</f>
        <v>54211</v>
      </c>
      <c r="I466" s="5" t="str">
        <f aca="false">VLOOKUP(F466,O:P,2,FALSE())</f>
        <v>Chaussures Alpin </v>
      </c>
      <c r="J466" s="5" t="str">
        <f aca="false">CONCATENATE(B466," ",C466)</f>
        <v>nordica gp</v>
      </c>
      <c r="K466" s="5" t="str">
        <f aca="false">IF(D466&lt;80,VLOOKUP(D466,R:S,2,FALSE()),CONCATENATE(D466," cm"))</f>
        <v>36 (EU) / 23 (MP)</v>
      </c>
      <c r="L466" s="17" t="n">
        <f aca="false">E466</f>
        <v>29</v>
      </c>
    </row>
    <row r="467" customFormat="false" ht="15" hidden="false" customHeight="false" outlineLevel="0" collapsed="false">
      <c r="A467" s="12" t="s">
        <v>686</v>
      </c>
      <c r="B467" s="13" t="s">
        <v>505</v>
      </c>
      <c r="C467" s="14" t="s">
        <v>632</v>
      </c>
      <c r="D467" s="15" t="n">
        <v>36</v>
      </c>
      <c r="E467" s="16" t="n">
        <v>35</v>
      </c>
      <c r="F467" s="13" t="s">
        <v>51</v>
      </c>
      <c r="G467" s="15" t="n">
        <v>1</v>
      </c>
      <c r="H467" s="5" t="str">
        <f aca="false">SUBSTITUTE(A467,"MS","",1)</f>
        <v>54212</v>
      </c>
      <c r="I467" s="5" t="str">
        <f aca="false">VLOOKUP(F467,O:P,2,FALSE())</f>
        <v>Chaussures Alpin </v>
      </c>
      <c r="J467" s="5" t="str">
        <f aca="false">CONCATENATE(B467," ",C467)</f>
        <v>tecnica cochise</v>
      </c>
      <c r="K467" s="5" t="str">
        <f aca="false">IF(D467&lt;80,VLOOKUP(D467,R:S,2,FALSE()),CONCATENATE(D467," cm"))</f>
        <v>36 (EU) / 23 (MP)</v>
      </c>
      <c r="L467" s="17" t="n">
        <f aca="false">E467</f>
        <v>35</v>
      </c>
    </row>
    <row r="468" customFormat="false" ht="15" hidden="false" customHeight="false" outlineLevel="0" collapsed="false">
      <c r="A468" s="12" t="s">
        <v>687</v>
      </c>
      <c r="B468" s="13" t="s">
        <v>505</v>
      </c>
      <c r="C468" s="14" t="s">
        <v>632</v>
      </c>
      <c r="D468" s="15" t="n">
        <v>36</v>
      </c>
      <c r="E468" s="16" t="n">
        <v>35</v>
      </c>
      <c r="F468" s="13" t="s">
        <v>51</v>
      </c>
      <c r="G468" s="15" t="n">
        <v>1</v>
      </c>
      <c r="H468" s="5" t="str">
        <f aca="false">SUBSTITUTE(A468,"MS","",1)</f>
        <v>54213</v>
      </c>
      <c r="I468" s="5" t="str">
        <f aca="false">VLOOKUP(F468,O:P,2,FALSE())</f>
        <v>Chaussures Alpin </v>
      </c>
      <c r="J468" s="5" t="str">
        <f aca="false">CONCATENATE(B468," ",C468)</f>
        <v>tecnica cochise</v>
      </c>
      <c r="K468" s="5" t="str">
        <f aca="false">IF(D468&lt;80,VLOOKUP(D468,R:S,2,FALSE()),CONCATENATE(D468," cm"))</f>
        <v>36 (EU) / 23 (MP)</v>
      </c>
      <c r="L468" s="17" t="n">
        <f aca="false">E468</f>
        <v>35</v>
      </c>
    </row>
    <row r="469" customFormat="false" ht="15" hidden="false" customHeight="false" outlineLevel="0" collapsed="false">
      <c r="A469" s="12" t="s">
        <v>688</v>
      </c>
      <c r="B469" s="13" t="s">
        <v>505</v>
      </c>
      <c r="C469" s="14" t="s">
        <v>632</v>
      </c>
      <c r="D469" s="15" t="n">
        <v>35</v>
      </c>
      <c r="E469" s="16" t="n">
        <v>35</v>
      </c>
      <c r="F469" s="13" t="s">
        <v>51</v>
      </c>
      <c r="G469" s="15" t="n">
        <v>1</v>
      </c>
      <c r="H469" s="5" t="str">
        <f aca="false">SUBSTITUTE(A469,"MS","",1)</f>
        <v>54214</v>
      </c>
      <c r="I469" s="5" t="str">
        <f aca="false">VLOOKUP(F469,O:P,2,FALSE())</f>
        <v>Chaussures Alpin </v>
      </c>
      <c r="J469" s="5" t="str">
        <f aca="false">CONCATENATE(B469," ",C469)</f>
        <v>tecnica cochise</v>
      </c>
      <c r="K469" s="5" t="str">
        <f aca="false">IF(D469&lt;80,VLOOKUP(D469,R:S,2,FALSE()),CONCATENATE(D469," cm"))</f>
        <v>35 (EU) / 22 (MP)</v>
      </c>
      <c r="L469" s="17" t="n">
        <f aca="false">E469</f>
        <v>35</v>
      </c>
    </row>
    <row r="470" customFormat="false" ht="15" hidden="false" customHeight="false" outlineLevel="0" collapsed="false">
      <c r="A470" s="12" t="s">
        <v>689</v>
      </c>
      <c r="B470" s="13" t="s">
        <v>492</v>
      </c>
      <c r="C470" s="14" t="s">
        <v>449</v>
      </c>
      <c r="D470" s="15" t="n">
        <v>35</v>
      </c>
      <c r="E470" s="16" t="n">
        <v>29</v>
      </c>
      <c r="F470" s="13" t="s">
        <v>51</v>
      </c>
      <c r="G470" s="15" t="n">
        <v>1</v>
      </c>
      <c r="H470" s="5" t="str">
        <f aca="false">SUBSTITUTE(A470,"MS","",1)</f>
        <v>54215</v>
      </c>
      <c r="I470" s="5" t="str">
        <f aca="false">VLOOKUP(F470,O:P,2,FALSE())</f>
        <v>Chaussures Alpin </v>
      </c>
      <c r="J470" s="5" t="str">
        <f aca="false">CONCATENATE(B470," ",C470)</f>
        <v>lange rs</v>
      </c>
      <c r="K470" s="5" t="str">
        <f aca="false">IF(D470&lt;80,VLOOKUP(D470,R:S,2,FALSE()),CONCATENATE(D470," cm"))</f>
        <v>35 (EU) / 22 (MP)</v>
      </c>
      <c r="L470" s="17" t="n">
        <f aca="false">E470</f>
        <v>29</v>
      </c>
    </row>
    <row r="471" customFormat="false" ht="15" hidden="false" customHeight="false" outlineLevel="0" collapsed="false">
      <c r="A471" s="12" t="s">
        <v>690</v>
      </c>
      <c r="B471" s="13" t="s">
        <v>492</v>
      </c>
      <c r="C471" s="14" t="s">
        <v>449</v>
      </c>
      <c r="D471" s="15" t="n">
        <v>35</v>
      </c>
      <c r="E471" s="16" t="n">
        <v>29</v>
      </c>
      <c r="F471" s="13" t="s">
        <v>51</v>
      </c>
      <c r="G471" s="15" t="n">
        <v>1</v>
      </c>
      <c r="H471" s="5" t="str">
        <f aca="false">SUBSTITUTE(A471,"MS","",1)</f>
        <v>54216</v>
      </c>
      <c r="I471" s="5" t="str">
        <f aca="false">VLOOKUP(F471,O:P,2,FALSE())</f>
        <v>Chaussures Alpin </v>
      </c>
      <c r="J471" s="5" t="str">
        <f aca="false">CONCATENATE(B471," ",C471)</f>
        <v>lange rs</v>
      </c>
      <c r="K471" s="5" t="str">
        <f aca="false">IF(D471&lt;80,VLOOKUP(D471,R:S,2,FALSE()),CONCATENATE(D471," cm"))</f>
        <v>35 (EU) / 22 (MP)</v>
      </c>
      <c r="L471" s="17" t="n">
        <f aca="false">E471</f>
        <v>29</v>
      </c>
    </row>
    <row r="472" customFormat="false" ht="15" hidden="false" customHeight="false" outlineLevel="0" collapsed="false">
      <c r="A472" s="12" t="s">
        <v>691</v>
      </c>
      <c r="B472" s="13" t="s">
        <v>492</v>
      </c>
      <c r="C472" s="14" t="s">
        <v>449</v>
      </c>
      <c r="D472" s="15" t="n">
        <v>35</v>
      </c>
      <c r="E472" s="16" t="n">
        <v>29</v>
      </c>
      <c r="F472" s="13" t="s">
        <v>51</v>
      </c>
      <c r="G472" s="15" t="n">
        <v>1</v>
      </c>
      <c r="H472" s="5" t="str">
        <f aca="false">SUBSTITUTE(A472,"MS","",1)</f>
        <v>54217</v>
      </c>
      <c r="I472" s="5" t="str">
        <f aca="false">VLOOKUP(F472,O:P,2,FALSE())</f>
        <v>Chaussures Alpin </v>
      </c>
      <c r="J472" s="5" t="str">
        <f aca="false">CONCATENATE(B472," ",C472)</f>
        <v>lange rs</v>
      </c>
      <c r="K472" s="5" t="str">
        <f aca="false">IF(D472&lt;80,VLOOKUP(D472,R:S,2,FALSE()),CONCATENATE(D472," cm"))</f>
        <v>35 (EU) / 22 (MP)</v>
      </c>
      <c r="L472" s="17" t="n">
        <f aca="false">E472</f>
        <v>29</v>
      </c>
    </row>
    <row r="473" customFormat="false" ht="15" hidden="false" customHeight="false" outlineLevel="0" collapsed="false">
      <c r="A473" s="12" t="s">
        <v>692</v>
      </c>
      <c r="B473" s="13" t="s">
        <v>444</v>
      </c>
      <c r="C473" s="14" t="s">
        <v>138</v>
      </c>
      <c r="D473" s="15" t="n">
        <v>35</v>
      </c>
      <c r="E473" s="16" t="n">
        <v>29</v>
      </c>
      <c r="F473" s="13" t="s">
        <v>51</v>
      </c>
      <c r="G473" s="15" t="n">
        <v>1</v>
      </c>
      <c r="H473" s="5" t="str">
        <f aca="false">SUBSTITUTE(A473,"MS","",1)</f>
        <v>54218</v>
      </c>
      <c r="I473" s="5" t="str">
        <f aca="false">VLOOKUP(F473,O:P,2,FALSE())</f>
        <v>Chaussures Alpin </v>
      </c>
      <c r="J473" s="5" t="str">
        <f aca="false">CONCATENATE(B473," ",C473)</f>
        <v>salomon max</v>
      </c>
      <c r="K473" s="5" t="str">
        <f aca="false">IF(D473&lt;80,VLOOKUP(D473,R:S,2,FALSE()),CONCATENATE(D473," cm"))</f>
        <v>35 (EU) / 22 (MP)</v>
      </c>
      <c r="L473" s="17" t="n">
        <f aca="false">E473</f>
        <v>29</v>
      </c>
    </row>
    <row r="474" customFormat="false" ht="15" hidden="false" customHeight="false" outlineLevel="0" collapsed="false">
      <c r="A474" s="12" t="s">
        <v>693</v>
      </c>
      <c r="B474" s="13" t="s">
        <v>505</v>
      </c>
      <c r="C474" s="14" t="s">
        <v>632</v>
      </c>
      <c r="D474" s="15" t="n">
        <v>34</v>
      </c>
      <c r="E474" s="16" t="n">
        <v>29</v>
      </c>
      <c r="F474" s="13" t="s">
        <v>51</v>
      </c>
      <c r="G474" s="15" t="n">
        <v>1</v>
      </c>
      <c r="H474" s="5" t="str">
        <f aca="false">SUBSTITUTE(A474,"MS","",1)</f>
        <v>54219</v>
      </c>
      <c r="I474" s="5" t="str">
        <f aca="false">VLOOKUP(F474,O:P,2,FALSE())</f>
        <v>Chaussures Alpin </v>
      </c>
      <c r="J474" s="5" t="str">
        <f aca="false">CONCATENATE(B474," ",C474)</f>
        <v>tecnica cochise</v>
      </c>
      <c r="K474" s="5" t="str">
        <f aca="false">IF(D474&lt;80,VLOOKUP(D474,R:S,2,FALSE()),CONCATENATE(D474," cm"))</f>
        <v>34 (EU) / 21 (MP)</v>
      </c>
      <c r="L474" s="17" t="n">
        <f aca="false">E474</f>
        <v>29</v>
      </c>
    </row>
    <row r="475" customFormat="false" ht="15" hidden="false" customHeight="false" outlineLevel="0" collapsed="false">
      <c r="A475" s="12" t="s">
        <v>694</v>
      </c>
      <c r="B475" s="13" t="s">
        <v>505</v>
      </c>
      <c r="C475" s="14" t="s">
        <v>632</v>
      </c>
      <c r="D475" s="15" t="n">
        <v>34</v>
      </c>
      <c r="E475" s="16" t="n">
        <v>29</v>
      </c>
      <c r="F475" s="13" t="s">
        <v>51</v>
      </c>
      <c r="G475" s="15" t="n">
        <v>1</v>
      </c>
      <c r="H475" s="5" t="str">
        <f aca="false">SUBSTITUTE(A475,"MS","",1)</f>
        <v>54220</v>
      </c>
      <c r="I475" s="5" t="str">
        <f aca="false">VLOOKUP(F475,O:P,2,FALSE())</f>
        <v>Chaussures Alpin </v>
      </c>
      <c r="J475" s="5" t="str">
        <f aca="false">CONCATENATE(B475," ",C475)</f>
        <v>tecnica cochise</v>
      </c>
      <c r="K475" s="5" t="str">
        <f aca="false">IF(D475&lt;80,VLOOKUP(D475,R:S,2,FALSE()),CONCATENATE(D475," cm"))</f>
        <v>34 (EU) / 21 (MP)</v>
      </c>
      <c r="L475" s="17" t="n">
        <f aca="false">E475</f>
        <v>29</v>
      </c>
    </row>
    <row r="476" customFormat="false" ht="15" hidden="false" customHeight="false" outlineLevel="0" collapsed="false">
      <c r="A476" s="12" t="s">
        <v>695</v>
      </c>
      <c r="B476" s="13" t="s">
        <v>505</v>
      </c>
      <c r="C476" s="14" t="s">
        <v>632</v>
      </c>
      <c r="D476" s="15" t="n">
        <v>35</v>
      </c>
      <c r="E476" s="16" t="n">
        <v>29</v>
      </c>
      <c r="F476" s="13" t="s">
        <v>51</v>
      </c>
      <c r="G476" s="15" t="n">
        <v>1</v>
      </c>
      <c r="H476" s="5" t="str">
        <f aca="false">SUBSTITUTE(A476,"MS","",1)</f>
        <v>54221</v>
      </c>
      <c r="I476" s="5" t="str">
        <f aca="false">VLOOKUP(F476,O:P,2,FALSE())</f>
        <v>Chaussures Alpin </v>
      </c>
      <c r="J476" s="5" t="str">
        <f aca="false">CONCATENATE(B476," ",C476)</f>
        <v>tecnica cochise</v>
      </c>
      <c r="K476" s="5" t="str">
        <f aca="false">IF(D476&lt;80,VLOOKUP(D476,R:S,2,FALSE()),CONCATENATE(D476," cm"))</f>
        <v>35 (EU) / 22 (MP)</v>
      </c>
      <c r="L476" s="17" t="n">
        <f aca="false">E476</f>
        <v>29</v>
      </c>
    </row>
    <row r="477" customFormat="false" ht="15" hidden="false" customHeight="false" outlineLevel="0" collapsed="false">
      <c r="A477" s="12" t="s">
        <v>696</v>
      </c>
      <c r="B477" s="13" t="s">
        <v>505</v>
      </c>
      <c r="C477" s="14" t="s">
        <v>632</v>
      </c>
      <c r="D477" s="15" t="n">
        <v>35</v>
      </c>
      <c r="E477" s="16" t="n">
        <v>29</v>
      </c>
      <c r="F477" s="13" t="s">
        <v>51</v>
      </c>
      <c r="G477" s="15" t="n">
        <v>1</v>
      </c>
      <c r="H477" s="5" t="str">
        <f aca="false">SUBSTITUTE(A477,"MS","",1)</f>
        <v>54222</v>
      </c>
      <c r="I477" s="5" t="str">
        <f aca="false">VLOOKUP(F477,O:P,2,FALSE())</f>
        <v>Chaussures Alpin </v>
      </c>
      <c r="J477" s="5" t="str">
        <f aca="false">CONCATENATE(B477," ",C477)</f>
        <v>tecnica cochise</v>
      </c>
      <c r="K477" s="5" t="str">
        <f aca="false">IF(D477&lt;80,VLOOKUP(D477,R:S,2,FALSE()),CONCATENATE(D477," cm"))</f>
        <v>35 (EU) / 22 (MP)</v>
      </c>
      <c r="L477" s="17" t="n">
        <f aca="false">E477</f>
        <v>29</v>
      </c>
    </row>
    <row r="478" customFormat="false" ht="15" hidden="false" customHeight="false" outlineLevel="0" collapsed="false">
      <c r="A478" s="12" t="s">
        <v>697</v>
      </c>
      <c r="B478" s="13" t="s">
        <v>492</v>
      </c>
      <c r="C478" s="14" t="s">
        <v>449</v>
      </c>
      <c r="D478" s="15" t="n">
        <v>34</v>
      </c>
      <c r="E478" s="16" t="n">
        <v>29</v>
      </c>
      <c r="F478" s="13" t="s">
        <v>51</v>
      </c>
      <c r="G478" s="15" t="n">
        <v>1</v>
      </c>
      <c r="H478" s="5" t="str">
        <f aca="false">SUBSTITUTE(A478,"MS","",1)</f>
        <v>54223</v>
      </c>
      <c r="I478" s="5" t="str">
        <f aca="false">VLOOKUP(F478,O:P,2,FALSE())</f>
        <v>Chaussures Alpin </v>
      </c>
      <c r="J478" s="5" t="str">
        <f aca="false">CONCATENATE(B478," ",C478)</f>
        <v>lange rs</v>
      </c>
      <c r="K478" s="5" t="str">
        <f aca="false">IF(D478&lt;80,VLOOKUP(D478,R:S,2,FALSE()),CONCATENATE(D478," cm"))</f>
        <v>34 (EU) / 21 (MP)</v>
      </c>
      <c r="L478" s="17" t="n">
        <f aca="false">E478</f>
        <v>29</v>
      </c>
    </row>
    <row r="479" customFormat="false" ht="15" hidden="false" customHeight="false" outlineLevel="0" collapsed="false">
      <c r="A479" s="12" t="s">
        <v>698</v>
      </c>
      <c r="B479" s="13" t="s">
        <v>492</v>
      </c>
      <c r="C479" s="14" t="s">
        <v>449</v>
      </c>
      <c r="D479" s="15" t="n">
        <v>34</v>
      </c>
      <c r="E479" s="16" t="n">
        <v>29</v>
      </c>
      <c r="F479" s="13" t="s">
        <v>51</v>
      </c>
      <c r="G479" s="15" t="n">
        <v>1</v>
      </c>
      <c r="H479" s="5" t="str">
        <f aca="false">SUBSTITUTE(A479,"MS","",1)</f>
        <v>54224</v>
      </c>
      <c r="I479" s="5" t="str">
        <f aca="false">VLOOKUP(F479,O:P,2,FALSE())</f>
        <v>Chaussures Alpin </v>
      </c>
      <c r="J479" s="5" t="str">
        <f aca="false">CONCATENATE(B479," ",C479)</f>
        <v>lange rs</v>
      </c>
      <c r="K479" s="5" t="str">
        <f aca="false">IF(D479&lt;80,VLOOKUP(D479,R:S,2,FALSE()),CONCATENATE(D479," cm"))</f>
        <v>34 (EU) / 21 (MP)</v>
      </c>
      <c r="L479" s="17" t="n">
        <f aca="false">E479</f>
        <v>29</v>
      </c>
    </row>
    <row r="480" customFormat="false" ht="15" hidden="false" customHeight="false" outlineLevel="0" collapsed="false">
      <c r="A480" s="12" t="s">
        <v>699</v>
      </c>
      <c r="B480" s="13" t="s">
        <v>337</v>
      </c>
      <c r="C480" s="14" t="s">
        <v>359</v>
      </c>
      <c r="D480" s="15" t="n">
        <v>35</v>
      </c>
      <c r="E480" s="16" t="n">
        <v>29</v>
      </c>
      <c r="F480" s="13" t="s">
        <v>51</v>
      </c>
      <c r="G480" s="15" t="n">
        <v>1</v>
      </c>
      <c r="H480" s="5" t="str">
        <f aca="false">SUBSTITUTE(A480,"MS","",1)</f>
        <v>54225</v>
      </c>
      <c r="I480" s="5" t="str">
        <f aca="false">VLOOKUP(F480,O:P,2,FALSE())</f>
        <v>Chaussures Alpin </v>
      </c>
      <c r="J480" s="5" t="str">
        <f aca="false">CONCATENATE(B480," ",C480)</f>
        <v>fischer jr</v>
      </c>
      <c r="K480" s="5" t="str">
        <f aca="false">IF(D480&lt;80,VLOOKUP(D480,R:S,2,FALSE()),CONCATENATE(D480," cm"))</f>
        <v>35 (EU) / 22 (MP)</v>
      </c>
      <c r="L480" s="17" t="n">
        <f aca="false">E480</f>
        <v>29</v>
      </c>
    </row>
    <row r="481" customFormat="false" ht="15" hidden="false" customHeight="false" outlineLevel="0" collapsed="false">
      <c r="A481" s="12" t="s">
        <v>700</v>
      </c>
      <c r="B481" s="13" t="s">
        <v>337</v>
      </c>
      <c r="C481" s="14" t="s">
        <v>359</v>
      </c>
      <c r="D481" s="15" t="n">
        <v>34</v>
      </c>
      <c r="E481" s="16" t="n">
        <v>29</v>
      </c>
      <c r="F481" s="13" t="s">
        <v>51</v>
      </c>
      <c r="G481" s="15" t="n">
        <v>1</v>
      </c>
      <c r="H481" s="5" t="str">
        <f aca="false">SUBSTITUTE(A481,"MS","",1)</f>
        <v>54226</v>
      </c>
      <c r="I481" s="5" t="str">
        <f aca="false">VLOOKUP(F481,O:P,2,FALSE())</f>
        <v>Chaussures Alpin </v>
      </c>
      <c r="J481" s="5" t="str">
        <f aca="false">CONCATENATE(B481," ",C481)</f>
        <v>fischer jr</v>
      </c>
      <c r="K481" s="5" t="str">
        <f aca="false">IF(D481&lt;80,VLOOKUP(D481,R:S,2,FALSE()),CONCATENATE(D481," cm"))</f>
        <v>34 (EU) / 21 (MP)</v>
      </c>
      <c r="L481" s="17" t="n">
        <f aca="false">E481</f>
        <v>29</v>
      </c>
    </row>
    <row r="482" customFormat="false" ht="15" hidden="false" customHeight="false" outlineLevel="0" collapsed="false">
      <c r="A482" s="12" t="s">
        <v>701</v>
      </c>
      <c r="B482" s="13" t="s">
        <v>505</v>
      </c>
      <c r="C482" s="14" t="s">
        <v>632</v>
      </c>
      <c r="D482" s="15" t="n">
        <v>35</v>
      </c>
      <c r="E482" s="16" t="n">
        <v>29</v>
      </c>
      <c r="F482" s="13" t="s">
        <v>51</v>
      </c>
      <c r="G482" s="15" t="n">
        <v>1</v>
      </c>
      <c r="H482" s="5" t="str">
        <f aca="false">SUBSTITUTE(A482,"MS","",1)</f>
        <v>54227</v>
      </c>
      <c r="I482" s="5" t="str">
        <f aca="false">VLOOKUP(F482,O:P,2,FALSE())</f>
        <v>Chaussures Alpin </v>
      </c>
      <c r="J482" s="5" t="str">
        <f aca="false">CONCATENATE(B482," ",C482)</f>
        <v>tecnica cochise</v>
      </c>
      <c r="K482" s="5" t="str">
        <f aca="false">IF(D482&lt;80,VLOOKUP(D482,R:S,2,FALSE()),CONCATENATE(D482," cm"))</f>
        <v>35 (EU) / 22 (MP)</v>
      </c>
      <c r="L482" s="17" t="n">
        <f aca="false">E482</f>
        <v>29</v>
      </c>
    </row>
    <row r="483" customFormat="false" ht="15" hidden="false" customHeight="false" outlineLevel="0" collapsed="false">
      <c r="A483" s="12" t="s">
        <v>702</v>
      </c>
      <c r="B483" s="13" t="s">
        <v>505</v>
      </c>
      <c r="C483" s="14" t="s">
        <v>632</v>
      </c>
      <c r="D483" s="15" t="n">
        <v>35</v>
      </c>
      <c r="E483" s="16" t="n">
        <v>29</v>
      </c>
      <c r="F483" s="13" t="s">
        <v>51</v>
      </c>
      <c r="G483" s="15" t="n">
        <v>1</v>
      </c>
      <c r="H483" s="5" t="str">
        <f aca="false">SUBSTITUTE(A483,"MS","",1)</f>
        <v>54228</v>
      </c>
      <c r="I483" s="5" t="str">
        <f aca="false">VLOOKUP(F483,O:P,2,FALSE())</f>
        <v>Chaussures Alpin </v>
      </c>
      <c r="J483" s="5" t="str">
        <f aca="false">CONCATENATE(B483," ",C483)</f>
        <v>tecnica cochise</v>
      </c>
      <c r="K483" s="5" t="str">
        <f aca="false">IF(D483&lt;80,VLOOKUP(D483,R:S,2,FALSE()),CONCATENATE(D483," cm"))</f>
        <v>35 (EU) / 22 (MP)</v>
      </c>
      <c r="L483" s="17" t="n">
        <f aca="false">E483</f>
        <v>29</v>
      </c>
    </row>
    <row r="484" customFormat="false" ht="15" hidden="false" customHeight="false" outlineLevel="0" collapsed="false">
      <c r="A484" s="12" t="s">
        <v>703</v>
      </c>
      <c r="B484" s="13" t="s">
        <v>444</v>
      </c>
      <c r="C484" s="14" t="s">
        <v>138</v>
      </c>
      <c r="D484" s="15" t="n">
        <v>33</v>
      </c>
      <c r="E484" s="16" t="n">
        <v>29</v>
      </c>
      <c r="F484" s="13" t="s">
        <v>51</v>
      </c>
      <c r="G484" s="15" t="n">
        <v>1</v>
      </c>
      <c r="H484" s="5" t="str">
        <f aca="false">SUBSTITUTE(A484,"MS","",1)</f>
        <v>54229</v>
      </c>
      <c r="I484" s="5" t="str">
        <f aca="false">VLOOKUP(F484,O:P,2,FALSE())</f>
        <v>Chaussures Alpin </v>
      </c>
      <c r="J484" s="5" t="str">
        <f aca="false">CONCATENATE(B484," ",C484)</f>
        <v>salomon max</v>
      </c>
      <c r="K484" s="5" t="str">
        <f aca="false">IF(D484&lt;80,VLOOKUP(D484,R:S,2,FALSE()),CONCATENATE(D484," cm"))</f>
        <v>33 (EU) / 21 (MP)</v>
      </c>
      <c r="L484" s="17" t="n">
        <f aca="false">E484</f>
        <v>29</v>
      </c>
    </row>
    <row r="485" customFormat="false" ht="15" hidden="false" customHeight="false" outlineLevel="0" collapsed="false">
      <c r="A485" s="12" t="s">
        <v>704</v>
      </c>
      <c r="B485" s="13" t="s">
        <v>358</v>
      </c>
      <c r="C485" s="14" t="s">
        <v>359</v>
      </c>
      <c r="D485" s="15" t="n">
        <v>33</v>
      </c>
      <c r="E485" s="16" t="n">
        <v>29</v>
      </c>
      <c r="F485" s="13" t="s">
        <v>51</v>
      </c>
      <c r="G485" s="15" t="n">
        <v>1</v>
      </c>
      <c r="H485" s="5" t="str">
        <f aca="false">SUBSTITUTE(A485,"MS","",1)</f>
        <v>54230</v>
      </c>
      <c r="I485" s="5" t="str">
        <f aca="false">VLOOKUP(F485,O:P,2,FALSE())</f>
        <v>Chaussures Alpin </v>
      </c>
      <c r="J485" s="5" t="str">
        <f aca="false">CONCATENATE(B485," ",C485)</f>
        <v>nordica jr</v>
      </c>
      <c r="K485" s="5" t="str">
        <f aca="false">IF(D485&lt;80,VLOOKUP(D485,R:S,2,FALSE()),CONCATENATE(D485," cm"))</f>
        <v>33 (EU) / 21 (MP)</v>
      </c>
      <c r="L485" s="17" t="n">
        <f aca="false">E485</f>
        <v>29</v>
      </c>
    </row>
    <row r="486" customFormat="false" ht="15" hidden="false" customHeight="false" outlineLevel="0" collapsed="false">
      <c r="A486" s="12" t="s">
        <v>705</v>
      </c>
      <c r="B486" s="13" t="s">
        <v>358</v>
      </c>
      <c r="C486" s="14" t="s">
        <v>359</v>
      </c>
      <c r="D486" s="15" t="n">
        <v>33</v>
      </c>
      <c r="E486" s="16" t="n">
        <v>29</v>
      </c>
      <c r="F486" s="13" t="s">
        <v>51</v>
      </c>
      <c r="G486" s="15" t="n">
        <v>1</v>
      </c>
      <c r="H486" s="5" t="str">
        <f aca="false">SUBSTITUTE(A486,"MS","",1)</f>
        <v>54231</v>
      </c>
      <c r="I486" s="5" t="str">
        <f aca="false">VLOOKUP(F486,O:P,2,FALSE())</f>
        <v>Chaussures Alpin </v>
      </c>
      <c r="J486" s="5" t="str">
        <f aca="false">CONCATENATE(B486," ",C486)</f>
        <v>nordica jr</v>
      </c>
      <c r="K486" s="5" t="str">
        <f aca="false">IF(D486&lt;80,VLOOKUP(D486,R:S,2,FALSE()),CONCATENATE(D486," cm"))</f>
        <v>33 (EU) / 21 (MP)</v>
      </c>
      <c r="L486" s="17" t="n">
        <f aca="false">E486</f>
        <v>29</v>
      </c>
    </row>
    <row r="487" customFormat="false" ht="15" hidden="false" customHeight="false" outlineLevel="0" collapsed="false">
      <c r="A487" s="12" t="s">
        <v>706</v>
      </c>
      <c r="B487" s="13" t="s">
        <v>358</v>
      </c>
      <c r="C487" s="14" t="s">
        <v>645</v>
      </c>
      <c r="D487" s="15" t="n">
        <v>35</v>
      </c>
      <c r="E487" s="16" t="n">
        <v>29</v>
      </c>
      <c r="F487" s="13" t="s">
        <v>51</v>
      </c>
      <c r="G487" s="15" t="n">
        <v>1</v>
      </c>
      <c r="H487" s="5" t="str">
        <f aca="false">SUBSTITUTE(A487,"MS","",1)</f>
        <v>54232</v>
      </c>
      <c r="I487" s="5" t="str">
        <f aca="false">VLOOKUP(F487,O:P,2,FALSE())</f>
        <v>Chaussures Alpin </v>
      </c>
      <c r="J487" s="5" t="str">
        <f aca="false">CONCATENATE(B487," ",C487)</f>
        <v>nordica gp</v>
      </c>
      <c r="K487" s="5" t="str">
        <f aca="false">IF(D487&lt;80,VLOOKUP(D487,R:S,2,FALSE()),CONCATENATE(D487," cm"))</f>
        <v>35 (EU) / 22 (MP)</v>
      </c>
      <c r="L487" s="17" t="n">
        <f aca="false">E487</f>
        <v>29</v>
      </c>
    </row>
    <row r="488" customFormat="false" ht="15" hidden="false" customHeight="false" outlineLevel="0" collapsed="false">
      <c r="A488" s="12" t="s">
        <v>707</v>
      </c>
      <c r="B488" s="13" t="s">
        <v>505</v>
      </c>
      <c r="C488" s="14" t="s">
        <v>632</v>
      </c>
      <c r="D488" s="15" t="n">
        <v>33</v>
      </c>
      <c r="E488" s="16" t="n">
        <v>29</v>
      </c>
      <c r="F488" s="13" t="s">
        <v>51</v>
      </c>
      <c r="G488" s="15" t="n">
        <v>1</v>
      </c>
      <c r="H488" s="5" t="str">
        <f aca="false">SUBSTITUTE(A488,"MS","",1)</f>
        <v>54233</v>
      </c>
      <c r="I488" s="5" t="str">
        <f aca="false">VLOOKUP(F488,O:P,2,FALSE())</f>
        <v>Chaussures Alpin </v>
      </c>
      <c r="J488" s="5" t="str">
        <f aca="false">CONCATENATE(B488," ",C488)</f>
        <v>tecnica cochise</v>
      </c>
      <c r="K488" s="5" t="str">
        <f aca="false">IF(D488&lt;80,VLOOKUP(D488,R:S,2,FALSE()),CONCATENATE(D488," cm"))</f>
        <v>33 (EU) / 21 (MP)</v>
      </c>
      <c r="L488" s="17" t="n">
        <f aca="false">E488</f>
        <v>29</v>
      </c>
    </row>
    <row r="489" customFormat="false" ht="15" hidden="false" customHeight="false" outlineLevel="0" collapsed="false">
      <c r="A489" s="12" t="s">
        <v>708</v>
      </c>
      <c r="B489" s="13" t="s">
        <v>492</v>
      </c>
      <c r="C489" s="14" t="s">
        <v>449</v>
      </c>
      <c r="D489" s="15" t="n">
        <v>33</v>
      </c>
      <c r="E489" s="16" t="n">
        <v>29</v>
      </c>
      <c r="F489" s="13" t="s">
        <v>51</v>
      </c>
      <c r="G489" s="15" t="n">
        <v>1</v>
      </c>
      <c r="H489" s="5" t="str">
        <f aca="false">SUBSTITUTE(A489,"MS","",1)</f>
        <v>54234</v>
      </c>
      <c r="I489" s="5" t="str">
        <f aca="false">VLOOKUP(F489,O:P,2,FALSE())</f>
        <v>Chaussures Alpin </v>
      </c>
      <c r="J489" s="5" t="str">
        <f aca="false">CONCATENATE(B489," ",C489)</f>
        <v>lange rs</v>
      </c>
      <c r="K489" s="5" t="str">
        <f aca="false">IF(D489&lt;80,VLOOKUP(D489,R:S,2,FALSE()),CONCATENATE(D489," cm"))</f>
        <v>33 (EU) / 21 (MP)</v>
      </c>
      <c r="L489" s="17" t="n">
        <f aca="false">E489</f>
        <v>29</v>
      </c>
    </row>
    <row r="490" customFormat="false" ht="15" hidden="false" customHeight="false" outlineLevel="0" collapsed="false">
      <c r="A490" s="12" t="s">
        <v>709</v>
      </c>
      <c r="B490" s="13" t="s">
        <v>358</v>
      </c>
      <c r="C490" s="14" t="s">
        <v>645</v>
      </c>
      <c r="D490" s="15" t="n">
        <v>34</v>
      </c>
      <c r="E490" s="16" t="n">
        <v>35</v>
      </c>
      <c r="F490" s="13" t="s">
        <v>51</v>
      </c>
      <c r="G490" s="15" t="n">
        <v>1</v>
      </c>
      <c r="H490" s="5" t="str">
        <f aca="false">SUBSTITUTE(A490,"MS","",1)</f>
        <v>54235</v>
      </c>
      <c r="I490" s="5" t="str">
        <f aca="false">VLOOKUP(F490,O:P,2,FALSE())</f>
        <v>Chaussures Alpin </v>
      </c>
      <c r="J490" s="5" t="str">
        <f aca="false">CONCATENATE(B490," ",C490)</f>
        <v>nordica gp</v>
      </c>
      <c r="K490" s="5" t="str">
        <f aca="false">IF(D490&lt;80,VLOOKUP(D490,R:S,2,FALSE()),CONCATENATE(D490," cm"))</f>
        <v>34 (EU) / 21 (MP)</v>
      </c>
      <c r="L490" s="17" t="n">
        <f aca="false">E490</f>
        <v>35</v>
      </c>
    </row>
    <row r="491" customFormat="false" ht="15" hidden="false" customHeight="false" outlineLevel="0" collapsed="false">
      <c r="A491" s="12" t="s">
        <v>710</v>
      </c>
      <c r="B491" s="13" t="s">
        <v>358</v>
      </c>
      <c r="C491" s="14" t="s">
        <v>359</v>
      </c>
      <c r="D491" s="15" t="n">
        <v>33</v>
      </c>
      <c r="E491" s="16" t="n">
        <v>29</v>
      </c>
      <c r="F491" s="13" t="s">
        <v>51</v>
      </c>
      <c r="G491" s="15" t="n">
        <v>1</v>
      </c>
      <c r="H491" s="5" t="str">
        <f aca="false">SUBSTITUTE(A491,"MS","",1)</f>
        <v>54236</v>
      </c>
      <c r="I491" s="5" t="str">
        <f aca="false">VLOOKUP(F491,O:P,2,FALSE())</f>
        <v>Chaussures Alpin </v>
      </c>
      <c r="J491" s="5" t="str">
        <f aca="false">CONCATENATE(B491," ",C491)</f>
        <v>nordica jr</v>
      </c>
      <c r="K491" s="5" t="str">
        <f aca="false">IF(D491&lt;80,VLOOKUP(D491,R:S,2,FALSE()),CONCATENATE(D491," cm"))</f>
        <v>33 (EU) / 21 (MP)</v>
      </c>
      <c r="L491" s="17" t="n">
        <f aca="false">E491</f>
        <v>29</v>
      </c>
    </row>
    <row r="492" customFormat="false" ht="15" hidden="false" customHeight="false" outlineLevel="0" collapsed="false">
      <c r="A492" s="12" t="s">
        <v>711</v>
      </c>
      <c r="B492" s="13" t="s">
        <v>358</v>
      </c>
      <c r="C492" s="14" t="s">
        <v>359</v>
      </c>
      <c r="D492" s="15" t="n">
        <v>33</v>
      </c>
      <c r="E492" s="16" t="n">
        <v>29</v>
      </c>
      <c r="F492" s="13" t="s">
        <v>51</v>
      </c>
      <c r="G492" s="15" t="n">
        <v>1</v>
      </c>
      <c r="H492" s="5" t="str">
        <f aca="false">SUBSTITUTE(A492,"MS","",1)</f>
        <v>54237</v>
      </c>
      <c r="I492" s="5" t="str">
        <f aca="false">VLOOKUP(F492,O:P,2,FALSE())</f>
        <v>Chaussures Alpin </v>
      </c>
      <c r="J492" s="5" t="str">
        <f aca="false">CONCATENATE(B492," ",C492)</f>
        <v>nordica jr</v>
      </c>
      <c r="K492" s="5" t="str">
        <f aca="false">IF(D492&lt;80,VLOOKUP(D492,R:S,2,FALSE()),CONCATENATE(D492," cm"))</f>
        <v>33 (EU) / 21 (MP)</v>
      </c>
      <c r="L492" s="17" t="n">
        <f aca="false">E492</f>
        <v>29</v>
      </c>
    </row>
    <row r="493" customFormat="false" ht="15" hidden="false" customHeight="false" outlineLevel="0" collapsed="false">
      <c r="A493" s="12" t="s">
        <v>712</v>
      </c>
      <c r="B493" s="13" t="s">
        <v>358</v>
      </c>
      <c r="C493" s="14" t="s">
        <v>645</v>
      </c>
      <c r="D493" s="15" t="n">
        <v>33</v>
      </c>
      <c r="E493" s="16" t="n">
        <v>29</v>
      </c>
      <c r="F493" s="13" t="s">
        <v>51</v>
      </c>
      <c r="G493" s="15" t="n">
        <v>1</v>
      </c>
      <c r="H493" s="5" t="str">
        <f aca="false">SUBSTITUTE(A493,"MS","",1)</f>
        <v>54238</v>
      </c>
      <c r="I493" s="5" t="str">
        <f aca="false">VLOOKUP(F493,O:P,2,FALSE())</f>
        <v>Chaussures Alpin </v>
      </c>
      <c r="J493" s="5" t="str">
        <f aca="false">CONCATENATE(B493," ",C493)</f>
        <v>nordica gp</v>
      </c>
      <c r="K493" s="5" t="str">
        <f aca="false">IF(D493&lt;80,VLOOKUP(D493,R:S,2,FALSE()),CONCATENATE(D493," cm"))</f>
        <v>33 (EU) / 21 (MP)</v>
      </c>
      <c r="L493" s="17" t="n">
        <f aca="false">E493</f>
        <v>29</v>
      </c>
    </row>
    <row r="494" customFormat="false" ht="15" hidden="false" customHeight="false" outlineLevel="0" collapsed="false">
      <c r="A494" s="12" t="s">
        <v>713</v>
      </c>
      <c r="B494" s="13" t="s">
        <v>505</v>
      </c>
      <c r="C494" s="14" t="s">
        <v>632</v>
      </c>
      <c r="D494" s="15" t="n">
        <v>33</v>
      </c>
      <c r="E494" s="16" t="n">
        <v>29</v>
      </c>
      <c r="F494" s="13" t="s">
        <v>51</v>
      </c>
      <c r="G494" s="15" t="n">
        <v>1</v>
      </c>
      <c r="H494" s="5" t="str">
        <f aca="false">SUBSTITUTE(A494,"MS","",1)</f>
        <v>54239</v>
      </c>
      <c r="I494" s="5" t="str">
        <f aca="false">VLOOKUP(F494,O:P,2,FALSE())</f>
        <v>Chaussures Alpin </v>
      </c>
      <c r="J494" s="5" t="str">
        <f aca="false">CONCATENATE(B494," ",C494)</f>
        <v>tecnica cochise</v>
      </c>
      <c r="K494" s="5" t="str">
        <f aca="false">IF(D494&lt;80,VLOOKUP(D494,R:S,2,FALSE()),CONCATENATE(D494," cm"))</f>
        <v>33 (EU) / 21 (MP)</v>
      </c>
      <c r="L494" s="17" t="n">
        <f aca="false">E494</f>
        <v>29</v>
      </c>
    </row>
    <row r="495" customFormat="false" ht="15" hidden="false" customHeight="false" outlineLevel="0" collapsed="false">
      <c r="A495" s="12" t="s">
        <v>714</v>
      </c>
      <c r="B495" s="13" t="s">
        <v>505</v>
      </c>
      <c r="C495" s="14" t="s">
        <v>632</v>
      </c>
      <c r="D495" s="15" t="n">
        <v>33</v>
      </c>
      <c r="E495" s="16" t="n">
        <v>29</v>
      </c>
      <c r="F495" s="13" t="s">
        <v>51</v>
      </c>
      <c r="G495" s="15" t="n">
        <v>1</v>
      </c>
      <c r="H495" s="5" t="str">
        <f aca="false">SUBSTITUTE(A495,"MS","",1)</f>
        <v>54240</v>
      </c>
      <c r="I495" s="5" t="str">
        <f aca="false">VLOOKUP(F495,O:P,2,FALSE())</f>
        <v>Chaussures Alpin </v>
      </c>
      <c r="J495" s="5" t="str">
        <f aca="false">CONCATENATE(B495," ",C495)</f>
        <v>tecnica cochise</v>
      </c>
      <c r="K495" s="5" t="str">
        <f aca="false">IF(D495&lt;80,VLOOKUP(D495,R:S,2,FALSE()),CONCATENATE(D495," cm"))</f>
        <v>33 (EU) / 21 (MP)</v>
      </c>
      <c r="L495" s="17" t="n">
        <f aca="false">E495</f>
        <v>29</v>
      </c>
    </row>
    <row r="496" customFormat="false" ht="15" hidden="false" customHeight="false" outlineLevel="0" collapsed="false">
      <c r="A496" s="12" t="s">
        <v>715</v>
      </c>
      <c r="B496" s="13" t="s">
        <v>444</v>
      </c>
      <c r="C496" s="14" t="s">
        <v>138</v>
      </c>
      <c r="D496" s="15" t="n">
        <v>33</v>
      </c>
      <c r="E496" s="16" t="n">
        <v>29</v>
      </c>
      <c r="F496" s="13" t="s">
        <v>51</v>
      </c>
      <c r="G496" s="15" t="n">
        <v>1</v>
      </c>
      <c r="H496" s="5" t="str">
        <f aca="false">SUBSTITUTE(A496,"MS","",1)</f>
        <v>54241</v>
      </c>
      <c r="I496" s="5" t="str">
        <f aca="false">VLOOKUP(F496,O:P,2,FALSE())</f>
        <v>Chaussures Alpin </v>
      </c>
      <c r="J496" s="5" t="str">
        <f aca="false">CONCATENATE(B496," ",C496)</f>
        <v>salomon max</v>
      </c>
      <c r="K496" s="5" t="str">
        <f aca="false">IF(D496&lt;80,VLOOKUP(D496,R:S,2,FALSE()),CONCATENATE(D496," cm"))</f>
        <v>33 (EU) / 21 (MP)</v>
      </c>
      <c r="L496" s="17" t="n">
        <f aca="false">E496</f>
        <v>29</v>
      </c>
    </row>
    <row r="497" customFormat="false" ht="15" hidden="false" customHeight="false" outlineLevel="0" collapsed="false">
      <c r="A497" s="12" t="s">
        <v>716</v>
      </c>
      <c r="B497" s="13" t="s">
        <v>492</v>
      </c>
      <c r="C497" s="14" t="s">
        <v>449</v>
      </c>
      <c r="D497" s="15" t="n">
        <v>33</v>
      </c>
      <c r="E497" s="16" t="n">
        <v>29</v>
      </c>
      <c r="F497" s="13" t="s">
        <v>51</v>
      </c>
      <c r="G497" s="15" t="n">
        <v>1</v>
      </c>
      <c r="H497" s="5" t="str">
        <f aca="false">SUBSTITUTE(A497,"MS","",1)</f>
        <v>54242</v>
      </c>
      <c r="I497" s="5" t="str">
        <f aca="false">VLOOKUP(F497,O:P,2,FALSE())</f>
        <v>Chaussures Alpin </v>
      </c>
      <c r="J497" s="5" t="str">
        <f aca="false">CONCATENATE(B497," ",C497)</f>
        <v>lange rs</v>
      </c>
      <c r="K497" s="5" t="str">
        <f aca="false">IF(D497&lt;80,VLOOKUP(D497,R:S,2,FALSE()),CONCATENATE(D497," cm"))</f>
        <v>33 (EU) / 21 (MP)</v>
      </c>
      <c r="L497" s="17" t="n">
        <f aca="false">E497</f>
        <v>29</v>
      </c>
    </row>
    <row r="498" customFormat="false" ht="15" hidden="false" customHeight="false" outlineLevel="0" collapsed="false">
      <c r="A498" s="12" t="s">
        <v>717</v>
      </c>
      <c r="B498" s="13" t="s">
        <v>492</v>
      </c>
      <c r="C498" s="14" t="s">
        <v>449</v>
      </c>
      <c r="D498" s="15" t="n">
        <v>32</v>
      </c>
      <c r="E498" s="16" t="n">
        <v>25</v>
      </c>
      <c r="F498" s="13" t="s">
        <v>51</v>
      </c>
      <c r="G498" s="15" t="n">
        <v>1</v>
      </c>
      <c r="H498" s="5" t="str">
        <f aca="false">SUBSTITUTE(A498,"MS","",1)</f>
        <v>54243</v>
      </c>
      <c r="I498" s="5" t="str">
        <f aca="false">VLOOKUP(F498,O:P,2,FALSE())</f>
        <v>Chaussures Alpin </v>
      </c>
      <c r="J498" s="5" t="str">
        <f aca="false">CONCATENATE(B498," ",C498)</f>
        <v>lange rs</v>
      </c>
      <c r="K498" s="5" t="str">
        <f aca="false">IF(D498&lt;80,VLOOKUP(D498,R:S,2,FALSE()),CONCATENATE(D498," cm"))</f>
        <v>32 (EU) / 20 (MP)</v>
      </c>
      <c r="L498" s="17" t="n">
        <f aca="false">E498</f>
        <v>25</v>
      </c>
    </row>
    <row r="499" customFormat="false" ht="15" hidden="false" customHeight="false" outlineLevel="0" collapsed="false">
      <c r="A499" s="12" t="s">
        <v>718</v>
      </c>
      <c r="B499" s="13" t="s">
        <v>358</v>
      </c>
      <c r="C499" s="14" t="s">
        <v>645</v>
      </c>
      <c r="D499" s="15" t="n">
        <v>32</v>
      </c>
      <c r="E499" s="16" t="n">
        <v>29</v>
      </c>
      <c r="F499" s="13" t="s">
        <v>51</v>
      </c>
      <c r="G499" s="15" t="n">
        <v>1</v>
      </c>
      <c r="H499" s="5" t="str">
        <f aca="false">SUBSTITUTE(A499,"MS","",1)</f>
        <v>54244</v>
      </c>
      <c r="I499" s="5" t="str">
        <f aca="false">VLOOKUP(F499,O:P,2,FALSE())</f>
        <v>Chaussures Alpin </v>
      </c>
      <c r="J499" s="5" t="str">
        <f aca="false">CONCATENATE(B499," ",C499)</f>
        <v>nordica gp</v>
      </c>
      <c r="K499" s="5" t="str">
        <f aca="false">IF(D499&lt;80,VLOOKUP(D499,R:S,2,FALSE()),CONCATENATE(D499," cm"))</f>
        <v>32 (EU) / 20 (MP)</v>
      </c>
      <c r="L499" s="17" t="n">
        <f aca="false">E499</f>
        <v>29</v>
      </c>
    </row>
    <row r="500" customFormat="false" ht="15" hidden="false" customHeight="false" outlineLevel="0" collapsed="false">
      <c r="A500" s="12" t="s">
        <v>719</v>
      </c>
      <c r="B500" s="13" t="s">
        <v>505</v>
      </c>
      <c r="C500" s="14" t="s">
        <v>632</v>
      </c>
      <c r="D500" s="15" t="n">
        <v>32</v>
      </c>
      <c r="E500" s="16" t="n">
        <v>29</v>
      </c>
      <c r="F500" s="13" t="s">
        <v>51</v>
      </c>
      <c r="G500" s="15" t="n">
        <v>1</v>
      </c>
      <c r="H500" s="5" t="str">
        <f aca="false">SUBSTITUTE(A500,"MS","",1)</f>
        <v>54245</v>
      </c>
      <c r="I500" s="5" t="str">
        <f aca="false">VLOOKUP(F500,O:P,2,FALSE())</f>
        <v>Chaussures Alpin </v>
      </c>
      <c r="J500" s="5" t="str">
        <f aca="false">CONCATENATE(B500," ",C500)</f>
        <v>tecnica cochise</v>
      </c>
      <c r="K500" s="5" t="str">
        <f aca="false">IF(D500&lt;80,VLOOKUP(D500,R:S,2,FALSE()),CONCATENATE(D500," cm"))</f>
        <v>32 (EU) / 20 (MP)</v>
      </c>
      <c r="L500" s="17" t="n">
        <f aca="false">E500</f>
        <v>29</v>
      </c>
    </row>
    <row r="501" customFormat="false" ht="15" hidden="false" customHeight="false" outlineLevel="0" collapsed="false">
      <c r="A501" s="12" t="s">
        <v>720</v>
      </c>
      <c r="B501" s="13" t="s">
        <v>505</v>
      </c>
      <c r="C501" s="14" t="s">
        <v>632</v>
      </c>
      <c r="D501" s="15" t="n">
        <v>32</v>
      </c>
      <c r="E501" s="16" t="n">
        <v>29</v>
      </c>
      <c r="F501" s="13" t="s">
        <v>51</v>
      </c>
      <c r="G501" s="15" t="n">
        <v>1</v>
      </c>
      <c r="H501" s="5" t="str">
        <f aca="false">SUBSTITUTE(A501,"MS","",1)</f>
        <v>54246</v>
      </c>
      <c r="I501" s="5" t="str">
        <f aca="false">VLOOKUP(F501,O:P,2,FALSE())</f>
        <v>Chaussures Alpin </v>
      </c>
      <c r="J501" s="5" t="str">
        <f aca="false">CONCATENATE(B501," ",C501)</f>
        <v>tecnica cochise</v>
      </c>
      <c r="K501" s="5" t="str">
        <f aca="false">IF(D501&lt;80,VLOOKUP(D501,R:S,2,FALSE()),CONCATENATE(D501," cm"))</f>
        <v>32 (EU) / 20 (MP)</v>
      </c>
      <c r="L501" s="17" t="n">
        <f aca="false">E501</f>
        <v>29</v>
      </c>
    </row>
    <row r="502" customFormat="false" ht="15" hidden="false" customHeight="false" outlineLevel="0" collapsed="false">
      <c r="A502" s="12" t="s">
        <v>721</v>
      </c>
      <c r="B502" s="13" t="s">
        <v>368</v>
      </c>
      <c r="C502" s="14" t="s">
        <v>41</v>
      </c>
      <c r="D502" s="15" t="n">
        <v>32</v>
      </c>
      <c r="E502" s="16" t="n">
        <v>29</v>
      </c>
      <c r="F502" s="13" t="s">
        <v>51</v>
      </c>
      <c r="G502" s="15" t="n">
        <v>1</v>
      </c>
      <c r="H502" s="5" t="str">
        <f aca="false">SUBSTITUTE(A502,"MS","",1)</f>
        <v>54247</v>
      </c>
      <c r="I502" s="5" t="str">
        <f aca="false">VLOOKUP(F502,O:P,2,FALSE())</f>
        <v>Chaussures Alpin </v>
      </c>
      <c r="J502" s="5" t="str">
        <f aca="false">CONCATENATE(B502," ",C502)</f>
        <v>rossignol hero</v>
      </c>
      <c r="K502" s="5" t="str">
        <f aca="false">IF(D502&lt;80,VLOOKUP(D502,R:S,2,FALSE()),CONCATENATE(D502," cm"))</f>
        <v>32 (EU) / 20 (MP)</v>
      </c>
      <c r="L502" s="17" t="n">
        <f aca="false">E502</f>
        <v>29</v>
      </c>
    </row>
    <row r="503" customFormat="false" ht="15" hidden="false" customHeight="false" outlineLevel="0" collapsed="false">
      <c r="A503" s="12" t="s">
        <v>722</v>
      </c>
      <c r="B503" s="13" t="s">
        <v>368</v>
      </c>
      <c r="C503" s="14" t="s">
        <v>41</v>
      </c>
      <c r="D503" s="15" t="n">
        <v>32</v>
      </c>
      <c r="E503" s="16" t="n">
        <v>29</v>
      </c>
      <c r="F503" s="13" t="s">
        <v>51</v>
      </c>
      <c r="G503" s="15" t="n">
        <v>1</v>
      </c>
      <c r="H503" s="5" t="str">
        <f aca="false">SUBSTITUTE(A503,"MS","",1)</f>
        <v>54248</v>
      </c>
      <c r="I503" s="5" t="str">
        <f aca="false">VLOOKUP(F503,O:P,2,FALSE())</f>
        <v>Chaussures Alpin </v>
      </c>
      <c r="J503" s="5" t="str">
        <f aca="false">CONCATENATE(B503," ",C503)</f>
        <v>rossignol hero</v>
      </c>
      <c r="K503" s="5" t="str">
        <f aca="false">IF(D503&lt;80,VLOOKUP(D503,R:S,2,FALSE()),CONCATENATE(D503," cm"))</f>
        <v>32 (EU) / 20 (MP)</v>
      </c>
      <c r="L503" s="17" t="n">
        <f aca="false">E503</f>
        <v>29</v>
      </c>
    </row>
    <row r="504" customFormat="false" ht="15" hidden="false" customHeight="false" outlineLevel="0" collapsed="false">
      <c r="A504" s="12" t="s">
        <v>723</v>
      </c>
      <c r="B504" s="13" t="s">
        <v>368</v>
      </c>
      <c r="C504" s="14" t="s">
        <v>41</v>
      </c>
      <c r="D504" s="15" t="n">
        <v>32</v>
      </c>
      <c r="E504" s="16" t="n">
        <v>29</v>
      </c>
      <c r="F504" s="13" t="s">
        <v>51</v>
      </c>
      <c r="G504" s="15" t="n">
        <v>1</v>
      </c>
      <c r="H504" s="5" t="str">
        <f aca="false">SUBSTITUTE(A504,"MS","",1)</f>
        <v>54249</v>
      </c>
      <c r="I504" s="5" t="str">
        <f aca="false">VLOOKUP(F504,O:P,2,FALSE())</f>
        <v>Chaussures Alpin </v>
      </c>
      <c r="J504" s="5" t="str">
        <f aca="false">CONCATENATE(B504," ",C504)</f>
        <v>rossignol hero</v>
      </c>
      <c r="K504" s="5" t="str">
        <f aca="false">IF(D504&lt;80,VLOOKUP(D504,R:S,2,FALSE()),CONCATENATE(D504," cm"))</f>
        <v>32 (EU) / 20 (MP)</v>
      </c>
      <c r="L504" s="17" t="n">
        <f aca="false">E504</f>
        <v>29</v>
      </c>
    </row>
    <row r="505" customFormat="false" ht="15" hidden="false" customHeight="false" outlineLevel="0" collapsed="false">
      <c r="A505" s="12" t="s">
        <v>724</v>
      </c>
      <c r="B505" s="13" t="s">
        <v>499</v>
      </c>
      <c r="C505" s="14" t="s">
        <v>470</v>
      </c>
      <c r="D505" s="15" t="n">
        <v>32</v>
      </c>
      <c r="E505" s="16" t="n">
        <v>25</v>
      </c>
      <c r="F505" s="13" t="s">
        <v>51</v>
      </c>
      <c r="G505" s="15" t="n">
        <v>1</v>
      </c>
      <c r="H505" s="5" t="str">
        <f aca="false">SUBSTITUTE(A505,"MS","",1)</f>
        <v>54250</v>
      </c>
      <c r="I505" s="5" t="str">
        <f aca="false">VLOOKUP(F505,O:P,2,FALSE())</f>
        <v>Chaussures Alpin </v>
      </c>
      <c r="J505" s="5" t="str">
        <f aca="false">CONCATENATE(B505," ",C505)</f>
        <v>dalbello menace</v>
      </c>
      <c r="K505" s="5" t="str">
        <f aca="false">IF(D505&lt;80,VLOOKUP(D505,R:S,2,FALSE()),CONCATENATE(D505," cm"))</f>
        <v>32 (EU) / 20 (MP)</v>
      </c>
      <c r="L505" s="17" t="n">
        <f aca="false">E505</f>
        <v>25</v>
      </c>
    </row>
    <row r="506" customFormat="false" ht="15" hidden="false" customHeight="false" outlineLevel="0" collapsed="false">
      <c r="A506" s="12" t="s">
        <v>725</v>
      </c>
      <c r="B506" s="13" t="s">
        <v>444</v>
      </c>
      <c r="C506" s="14" t="s">
        <v>138</v>
      </c>
      <c r="D506" s="15" t="n">
        <v>31</v>
      </c>
      <c r="E506" s="16" t="n">
        <v>29</v>
      </c>
      <c r="F506" s="13" t="s">
        <v>51</v>
      </c>
      <c r="G506" s="15" t="n">
        <v>1</v>
      </c>
      <c r="H506" s="5" t="str">
        <f aca="false">SUBSTITUTE(A506,"MS","",1)</f>
        <v>54251</v>
      </c>
      <c r="I506" s="5" t="str">
        <f aca="false">VLOOKUP(F506,O:P,2,FALSE())</f>
        <v>Chaussures Alpin </v>
      </c>
      <c r="J506" s="5" t="str">
        <f aca="false">CONCATENATE(B506," ",C506)</f>
        <v>salomon max</v>
      </c>
      <c r="K506" s="5" t="str">
        <f aca="false">IF(D506&lt;80,VLOOKUP(D506,R:S,2,FALSE()),CONCATENATE(D506," cm"))</f>
        <v>31 (EU) / 19 (MP)</v>
      </c>
      <c r="L506" s="17" t="n">
        <f aca="false">E506</f>
        <v>29</v>
      </c>
    </row>
    <row r="507" customFormat="false" ht="15" hidden="false" customHeight="false" outlineLevel="0" collapsed="false">
      <c r="A507" s="12" t="s">
        <v>726</v>
      </c>
      <c r="B507" s="13" t="s">
        <v>492</v>
      </c>
      <c r="C507" s="14" t="s">
        <v>449</v>
      </c>
      <c r="D507" s="15" t="n">
        <v>31</v>
      </c>
      <c r="E507" s="16" t="n">
        <v>29</v>
      </c>
      <c r="F507" s="13" t="s">
        <v>51</v>
      </c>
      <c r="G507" s="15" t="n">
        <v>1</v>
      </c>
      <c r="H507" s="5" t="str">
        <f aca="false">SUBSTITUTE(A507,"MS","",1)</f>
        <v>54252</v>
      </c>
      <c r="I507" s="5" t="str">
        <f aca="false">VLOOKUP(F507,O:P,2,FALSE())</f>
        <v>Chaussures Alpin </v>
      </c>
      <c r="J507" s="5" t="str">
        <f aca="false">CONCATENATE(B507," ",C507)</f>
        <v>lange rs</v>
      </c>
      <c r="K507" s="5" t="str">
        <f aca="false">IF(D507&lt;80,VLOOKUP(D507,R:S,2,FALSE()),CONCATENATE(D507," cm"))</f>
        <v>31 (EU) / 19 (MP)</v>
      </c>
      <c r="L507" s="17" t="n">
        <f aca="false">E507</f>
        <v>29</v>
      </c>
    </row>
    <row r="508" customFormat="false" ht="15" hidden="false" customHeight="false" outlineLevel="0" collapsed="false">
      <c r="A508" s="12" t="s">
        <v>727</v>
      </c>
      <c r="B508" s="13" t="s">
        <v>492</v>
      </c>
      <c r="C508" s="14" t="s">
        <v>449</v>
      </c>
      <c r="D508" s="15" t="n">
        <v>31</v>
      </c>
      <c r="E508" s="16" t="n">
        <v>29</v>
      </c>
      <c r="F508" s="13" t="s">
        <v>51</v>
      </c>
      <c r="G508" s="15" t="n">
        <v>1</v>
      </c>
      <c r="H508" s="5" t="str">
        <f aca="false">SUBSTITUTE(A508,"MS","",1)</f>
        <v>54253</v>
      </c>
      <c r="I508" s="5" t="str">
        <f aca="false">VLOOKUP(F508,O:P,2,FALSE())</f>
        <v>Chaussures Alpin </v>
      </c>
      <c r="J508" s="5" t="str">
        <f aca="false">CONCATENATE(B508," ",C508)</f>
        <v>lange rs</v>
      </c>
      <c r="K508" s="5" t="str">
        <f aca="false">IF(D508&lt;80,VLOOKUP(D508,R:S,2,FALSE()),CONCATENATE(D508," cm"))</f>
        <v>31 (EU) / 19 (MP)</v>
      </c>
      <c r="L508" s="17" t="n">
        <f aca="false">E508</f>
        <v>29</v>
      </c>
    </row>
    <row r="509" customFormat="false" ht="15" hidden="false" customHeight="false" outlineLevel="0" collapsed="false">
      <c r="A509" s="12" t="s">
        <v>728</v>
      </c>
      <c r="B509" s="13" t="s">
        <v>505</v>
      </c>
      <c r="C509" s="14" t="s">
        <v>632</v>
      </c>
      <c r="D509" s="15" t="n">
        <v>30</v>
      </c>
      <c r="E509" s="16" t="n">
        <v>29</v>
      </c>
      <c r="F509" s="13" t="s">
        <v>51</v>
      </c>
      <c r="G509" s="15" t="n">
        <v>1</v>
      </c>
      <c r="H509" s="5" t="str">
        <f aca="false">SUBSTITUTE(A509,"MS","",1)</f>
        <v>54254</v>
      </c>
      <c r="I509" s="5" t="str">
        <f aca="false">VLOOKUP(F509,O:P,2,FALSE())</f>
        <v>Chaussures Alpin </v>
      </c>
      <c r="J509" s="5" t="str">
        <f aca="false">CONCATENATE(B509," ",C509)</f>
        <v>tecnica cochise</v>
      </c>
      <c r="K509" s="5" t="str">
        <f aca="false">IF(D509&lt;80,VLOOKUP(D509,R:S,2,FALSE()),CONCATENATE(D509," cm"))</f>
        <v>30 (EU) / 19 (MP)</v>
      </c>
      <c r="L509" s="17" t="n">
        <f aca="false">E509</f>
        <v>29</v>
      </c>
    </row>
    <row r="510" customFormat="false" ht="15" hidden="false" customHeight="false" outlineLevel="0" collapsed="false">
      <c r="A510" s="12" t="s">
        <v>729</v>
      </c>
      <c r="B510" s="13" t="s">
        <v>505</v>
      </c>
      <c r="C510" s="14" t="s">
        <v>632</v>
      </c>
      <c r="D510" s="15" t="n">
        <v>30</v>
      </c>
      <c r="E510" s="16" t="n">
        <v>29</v>
      </c>
      <c r="F510" s="13" t="s">
        <v>51</v>
      </c>
      <c r="G510" s="15" t="n">
        <v>1</v>
      </c>
      <c r="H510" s="5" t="str">
        <f aca="false">SUBSTITUTE(A510,"MS","",1)</f>
        <v>54255</v>
      </c>
      <c r="I510" s="5" t="str">
        <f aca="false">VLOOKUP(F510,O:P,2,FALSE())</f>
        <v>Chaussures Alpin </v>
      </c>
      <c r="J510" s="5" t="str">
        <f aca="false">CONCATENATE(B510," ",C510)</f>
        <v>tecnica cochise</v>
      </c>
      <c r="K510" s="5" t="str">
        <f aca="false">IF(D510&lt;80,VLOOKUP(D510,R:S,2,FALSE()),CONCATENATE(D510," cm"))</f>
        <v>30 (EU) / 19 (MP)</v>
      </c>
      <c r="L510" s="17" t="n">
        <f aca="false">E510</f>
        <v>29</v>
      </c>
    </row>
    <row r="511" customFormat="false" ht="15" hidden="false" customHeight="false" outlineLevel="0" collapsed="false">
      <c r="A511" s="12" t="s">
        <v>730</v>
      </c>
      <c r="B511" s="13" t="s">
        <v>505</v>
      </c>
      <c r="C511" s="14" t="s">
        <v>632</v>
      </c>
      <c r="D511" s="15" t="n">
        <v>30</v>
      </c>
      <c r="E511" s="16" t="n">
        <v>29</v>
      </c>
      <c r="F511" s="13" t="s">
        <v>51</v>
      </c>
      <c r="G511" s="15" t="n">
        <v>1</v>
      </c>
      <c r="H511" s="5" t="str">
        <f aca="false">SUBSTITUTE(A511,"MS","",1)</f>
        <v>54256</v>
      </c>
      <c r="I511" s="5" t="str">
        <f aca="false">VLOOKUP(F511,O:P,2,FALSE())</f>
        <v>Chaussures Alpin </v>
      </c>
      <c r="J511" s="5" t="str">
        <f aca="false">CONCATENATE(B511," ",C511)</f>
        <v>tecnica cochise</v>
      </c>
      <c r="K511" s="5" t="str">
        <f aca="false">IF(D511&lt;80,VLOOKUP(D511,R:S,2,FALSE()),CONCATENATE(D511," cm"))</f>
        <v>30 (EU) / 19 (MP)</v>
      </c>
      <c r="L511" s="17" t="n">
        <f aca="false">E511</f>
        <v>29</v>
      </c>
    </row>
    <row r="512" customFormat="false" ht="15" hidden="false" customHeight="false" outlineLevel="0" collapsed="false">
      <c r="A512" s="12" t="s">
        <v>731</v>
      </c>
      <c r="B512" s="13" t="s">
        <v>505</v>
      </c>
      <c r="C512" s="14" t="s">
        <v>632</v>
      </c>
      <c r="D512" s="15" t="n">
        <v>30</v>
      </c>
      <c r="E512" s="16" t="n">
        <v>29</v>
      </c>
      <c r="F512" s="13" t="s">
        <v>51</v>
      </c>
      <c r="G512" s="15" t="n">
        <v>1</v>
      </c>
      <c r="H512" s="5" t="str">
        <f aca="false">SUBSTITUTE(A512,"MS","",1)</f>
        <v>54257</v>
      </c>
      <c r="I512" s="5" t="str">
        <f aca="false">VLOOKUP(F512,O:P,2,FALSE())</f>
        <v>Chaussures Alpin </v>
      </c>
      <c r="J512" s="5" t="str">
        <f aca="false">CONCATENATE(B512," ",C512)</f>
        <v>tecnica cochise</v>
      </c>
      <c r="K512" s="5" t="str">
        <f aca="false">IF(D512&lt;80,VLOOKUP(D512,R:S,2,FALSE()),CONCATENATE(D512," cm"))</f>
        <v>30 (EU) / 19 (MP)</v>
      </c>
      <c r="L512" s="17" t="n">
        <f aca="false">E512</f>
        <v>29</v>
      </c>
    </row>
    <row r="513" customFormat="false" ht="15" hidden="false" customHeight="false" outlineLevel="0" collapsed="false">
      <c r="A513" s="12" t="s">
        <v>732</v>
      </c>
      <c r="B513" s="13" t="s">
        <v>492</v>
      </c>
      <c r="C513" s="14" t="s">
        <v>449</v>
      </c>
      <c r="D513" s="15" t="n">
        <v>30</v>
      </c>
      <c r="E513" s="16" t="n">
        <v>29</v>
      </c>
      <c r="F513" s="13" t="s">
        <v>51</v>
      </c>
      <c r="G513" s="15" t="n">
        <v>1</v>
      </c>
      <c r="H513" s="5" t="str">
        <f aca="false">SUBSTITUTE(A513,"MS","",1)</f>
        <v>54258</v>
      </c>
      <c r="I513" s="5" t="str">
        <f aca="false">VLOOKUP(F513,O:P,2,FALSE())</f>
        <v>Chaussures Alpin </v>
      </c>
      <c r="J513" s="5" t="str">
        <f aca="false">CONCATENATE(B513," ",C513)</f>
        <v>lange rs</v>
      </c>
      <c r="K513" s="5" t="str">
        <f aca="false">IF(D513&lt;80,VLOOKUP(D513,R:S,2,FALSE()),CONCATENATE(D513," cm"))</f>
        <v>30 (EU) / 19 (MP)</v>
      </c>
      <c r="L513" s="17" t="n">
        <f aca="false">E513</f>
        <v>29</v>
      </c>
    </row>
    <row r="514" customFormat="false" ht="15" hidden="false" customHeight="false" outlineLevel="0" collapsed="false">
      <c r="A514" s="12" t="s">
        <v>733</v>
      </c>
      <c r="B514" s="13" t="s">
        <v>492</v>
      </c>
      <c r="C514" s="14" t="s">
        <v>449</v>
      </c>
      <c r="D514" s="15" t="n">
        <v>30</v>
      </c>
      <c r="E514" s="16" t="n">
        <v>29</v>
      </c>
      <c r="F514" s="13" t="s">
        <v>51</v>
      </c>
      <c r="G514" s="15" t="n">
        <v>1</v>
      </c>
      <c r="H514" s="5" t="str">
        <f aca="false">SUBSTITUTE(A514,"MS","",1)</f>
        <v>54259</v>
      </c>
      <c r="I514" s="5" t="str">
        <f aca="false">VLOOKUP(F514,O:P,2,FALSE())</f>
        <v>Chaussures Alpin </v>
      </c>
      <c r="J514" s="5" t="str">
        <f aca="false">CONCATENATE(B514," ",C514)</f>
        <v>lange rs</v>
      </c>
      <c r="K514" s="5" t="str">
        <f aca="false">IF(D514&lt;80,VLOOKUP(D514,R:S,2,FALSE()),CONCATENATE(D514," cm"))</f>
        <v>30 (EU) / 19 (MP)</v>
      </c>
      <c r="L514" s="17" t="n">
        <f aca="false">E514</f>
        <v>29</v>
      </c>
    </row>
    <row r="515" customFormat="false" ht="15" hidden="false" customHeight="false" outlineLevel="0" collapsed="false">
      <c r="A515" s="12" t="s">
        <v>734</v>
      </c>
      <c r="B515" s="13" t="s">
        <v>499</v>
      </c>
      <c r="C515" s="14" t="s">
        <v>359</v>
      </c>
      <c r="D515" s="15" t="n">
        <v>30</v>
      </c>
      <c r="E515" s="16" t="n">
        <v>29</v>
      </c>
      <c r="F515" s="13" t="s">
        <v>51</v>
      </c>
      <c r="G515" s="15" t="n">
        <v>1</v>
      </c>
      <c r="H515" s="5" t="str">
        <f aca="false">SUBSTITUTE(A515,"MS","",1)</f>
        <v>54260</v>
      </c>
      <c r="I515" s="5" t="str">
        <f aca="false">VLOOKUP(F515,O:P,2,FALSE())</f>
        <v>Chaussures Alpin </v>
      </c>
      <c r="J515" s="5" t="str">
        <f aca="false">CONCATENATE(B515," ",C515)</f>
        <v>dalbello jr</v>
      </c>
      <c r="K515" s="5" t="str">
        <f aca="false">IF(D515&lt;80,VLOOKUP(D515,R:S,2,FALSE()),CONCATENATE(D515," cm"))</f>
        <v>30 (EU) / 19 (MP)</v>
      </c>
      <c r="L515" s="17" t="n">
        <f aca="false">E515</f>
        <v>29</v>
      </c>
    </row>
    <row r="516" customFormat="false" ht="15" hidden="false" customHeight="false" outlineLevel="0" collapsed="false">
      <c r="A516" s="12" t="s">
        <v>735</v>
      </c>
      <c r="B516" s="13" t="s">
        <v>499</v>
      </c>
      <c r="C516" s="14" t="s">
        <v>359</v>
      </c>
      <c r="D516" s="15" t="n">
        <v>30</v>
      </c>
      <c r="E516" s="16" t="n">
        <v>29</v>
      </c>
      <c r="F516" s="13" t="s">
        <v>51</v>
      </c>
      <c r="G516" s="15" t="n">
        <v>1</v>
      </c>
      <c r="H516" s="5" t="str">
        <f aca="false">SUBSTITUTE(A516,"MS","",1)</f>
        <v>54261</v>
      </c>
      <c r="I516" s="5" t="str">
        <f aca="false">VLOOKUP(F516,O:P,2,FALSE())</f>
        <v>Chaussures Alpin </v>
      </c>
      <c r="J516" s="5" t="str">
        <f aca="false">CONCATENATE(B516," ",C516)</f>
        <v>dalbello jr</v>
      </c>
      <c r="K516" s="5" t="str">
        <f aca="false">IF(D516&lt;80,VLOOKUP(D516,R:S,2,FALSE()),CONCATENATE(D516," cm"))</f>
        <v>30 (EU) / 19 (MP)</v>
      </c>
      <c r="L516" s="17" t="n">
        <f aca="false">E516</f>
        <v>29</v>
      </c>
    </row>
    <row r="517" customFormat="false" ht="15" hidden="false" customHeight="false" outlineLevel="0" collapsed="false">
      <c r="A517" s="12" t="s">
        <v>736</v>
      </c>
      <c r="B517" s="13" t="s">
        <v>358</v>
      </c>
      <c r="C517" s="14" t="s">
        <v>359</v>
      </c>
      <c r="D517" s="15" t="n">
        <v>30</v>
      </c>
      <c r="E517" s="16" t="n">
        <v>29</v>
      </c>
      <c r="F517" s="13" t="s">
        <v>51</v>
      </c>
      <c r="G517" s="15" t="n">
        <v>1</v>
      </c>
      <c r="H517" s="5" t="str">
        <f aca="false">SUBSTITUTE(A517,"MS","",1)</f>
        <v>54262</v>
      </c>
      <c r="I517" s="5" t="str">
        <f aca="false">VLOOKUP(F517,O:P,2,FALSE())</f>
        <v>Chaussures Alpin </v>
      </c>
      <c r="J517" s="5" t="str">
        <f aca="false">CONCATENATE(B517," ",C517)</f>
        <v>nordica jr</v>
      </c>
      <c r="K517" s="5" t="str">
        <f aca="false">IF(D517&lt;80,VLOOKUP(D517,R:S,2,FALSE()),CONCATENATE(D517," cm"))</f>
        <v>30 (EU) / 19 (MP)</v>
      </c>
      <c r="L517" s="17" t="n">
        <f aca="false">E517</f>
        <v>29</v>
      </c>
    </row>
    <row r="518" customFormat="false" ht="15" hidden="false" customHeight="false" outlineLevel="0" collapsed="false">
      <c r="A518" s="12" t="s">
        <v>737</v>
      </c>
      <c r="B518" s="13" t="s">
        <v>358</v>
      </c>
      <c r="C518" s="14" t="s">
        <v>359</v>
      </c>
      <c r="D518" s="15" t="n">
        <v>30</v>
      </c>
      <c r="E518" s="16" t="n">
        <v>29</v>
      </c>
      <c r="F518" s="13" t="s">
        <v>51</v>
      </c>
      <c r="G518" s="15" t="n">
        <v>1</v>
      </c>
      <c r="H518" s="5" t="str">
        <f aca="false">SUBSTITUTE(A518,"MS","",1)</f>
        <v>54263</v>
      </c>
      <c r="I518" s="5" t="str">
        <f aca="false">VLOOKUP(F518,O:P,2,FALSE())</f>
        <v>Chaussures Alpin </v>
      </c>
      <c r="J518" s="5" t="str">
        <f aca="false">CONCATENATE(B518," ",C518)</f>
        <v>nordica jr</v>
      </c>
      <c r="K518" s="5" t="str">
        <f aca="false">IF(D518&lt;80,VLOOKUP(D518,R:S,2,FALSE()),CONCATENATE(D518," cm"))</f>
        <v>30 (EU) / 19 (MP)</v>
      </c>
      <c r="L518" s="17" t="n">
        <f aca="false">E518</f>
        <v>29</v>
      </c>
    </row>
    <row r="519" customFormat="false" ht="15" hidden="false" customHeight="false" outlineLevel="0" collapsed="false">
      <c r="A519" s="12" t="s">
        <v>738</v>
      </c>
      <c r="B519" s="13" t="s">
        <v>368</v>
      </c>
      <c r="C519" s="14" t="s">
        <v>391</v>
      </c>
      <c r="D519" s="15" t="n">
        <v>29</v>
      </c>
      <c r="E519" s="16" t="n">
        <v>29</v>
      </c>
      <c r="F519" s="13" t="s">
        <v>51</v>
      </c>
      <c r="G519" s="15" t="n">
        <v>1</v>
      </c>
      <c r="H519" s="5" t="str">
        <f aca="false">SUBSTITUTE(A519,"MS","",1)</f>
        <v>54264</v>
      </c>
      <c r="I519" s="5" t="str">
        <f aca="false">VLOOKUP(F519,O:P,2,FALSE())</f>
        <v>Chaussures Alpin </v>
      </c>
      <c r="J519" s="5" t="str">
        <f aca="false">CONCATENATE(B519," ",C519)</f>
        <v>rossignol comp</v>
      </c>
      <c r="K519" s="5" t="str">
        <f aca="false">IF(D519&lt;80,VLOOKUP(D519,R:S,2,FALSE()),CONCATENATE(D519," cm"))</f>
        <v>29 (EU) / 18 (MP)</v>
      </c>
      <c r="L519" s="17" t="n">
        <f aca="false">E519</f>
        <v>29</v>
      </c>
    </row>
    <row r="520" customFormat="false" ht="15" hidden="false" customHeight="false" outlineLevel="0" collapsed="false">
      <c r="A520" s="12" t="s">
        <v>739</v>
      </c>
      <c r="B520" s="13" t="s">
        <v>444</v>
      </c>
      <c r="C520" s="14" t="s">
        <v>138</v>
      </c>
      <c r="D520" s="15" t="n">
        <v>29</v>
      </c>
      <c r="E520" s="16" t="n">
        <v>29</v>
      </c>
      <c r="F520" s="13" t="s">
        <v>51</v>
      </c>
      <c r="G520" s="15" t="n">
        <v>1</v>
      </c>
      <c r="H520" s="5" t="str">
        <f aca="false">SUBSTITUTE(A520,"MS","",1)</f>
        <v>54265</v>
      </c>
      <c r="I520" s="5" t="str">
        <f aca="false">VLOOKUP(F520,O:P,2,FALSE())</f>
        <v>Chaussures Alpin </v>
      </c>
      <c r="J520" s="5" t="str">
        <f aca="false">CONCATENATE(B520," ",C520)</f>
        <v>salomon max</v>
      </c>
      <c r="K520" s="5" t="str">
        <f aca="false">IF(D520&lt;80,VLOOKUP(D520,R:S,2,FALSE()),CONCATENATE(D520," cm"))</f>
        <v>29 (EU) / 18 (MP)</v>
      </c>
      <c r="L520" s="17" t="n">
        <f aca="false">E520</f>
        <v>29</v>
      </c>
    </row>
    <row r="521" customFormat="false" ht="15" hidden="false" customHeight="false" outlineLevel="0" collapsed="false">
      <c r="A521" s="12" t="s">
        <v>740</v>
      </c>
      <c r="B521" s="13" t="s">
        <v>505</v>
      </c>
      <c r="C521" s="14" t="s">
        <v>632</v>
      </c>
      <c r="D521" s="15" t="n">
        <v>29</v>
      </c>
      <c r="E521" s="16" t="n">
        <v>29</v>
      </c>
      <c r="F521" s="13" t="s">
        <v>51</v>
      </c>
      <c r="G521" s="15" t="n">
        <v>1</v>
      </c>
      <c r="H521" s="5" t="str">
        <f aca="false">SUBSTITUTE(A521,"MS","",1)</f>
        <v>54266</v>
      </c>
      <c r="I521" s="5" t="str">
        <f aca="false">VLOOKUP(F521,O:P,2,FALSE())</f>
        <v>Chaussures Alpin </v>
      </c>
      <c r="J521" s="5" t="str">
        <f aca="false">CONCATENATE(B521," ",C521)</f>
        <v>tecnica cochise</v>
      </c>
      <c r="K521" s="5" t="str">
        <f aca="false">IF(D521&lt;80,VLOOKUP(D521,R:S,2,FALSE()),CONCATENATE(D521," cm"))</f>
        <v>29 (EU) / 18 (MP)</v>
      </c>
      <c r="L521" s="17" t="n">
        <f aca="false">E521</f>
        <v>29</v>
      </c>
    </row>
    <row r="522" customFormat="false" ht="15" hidden="false" customHeight="false" outlineLevel="0" collapsed="false">
      <c r="A522" s="12" t="s">
        <v>741</v>
      </c>
      <c r="B522" s="13" t="s">
        <v>492</v>
      </c>
      <c r="C522" s="14" t="s">
        <v>449</v>
      </c>
      <c r="D522" s="15" t="n">
        <v>29</v>
      </c>
      <c r="E522" s="16" t="n">
        <v>29</v>
      </c>
      <c r="F522" s="13" t="s">
        <v>51</v>
      </c>
      <c r="G522" s="15" t="n">
        <v>1</v>
      </c>
      <c r="H522" s="5" t="str">
        <f aca="false">SUBSTITUTE(A522,"MS","",1)</f>
        <v>54267</v>
      </c>
      <c r="I522" s="5" t="str">
        <f aca="false">VLOOKUP(F522,O:P,2,FALSE())</f>
        <v>Chaussures Alpin </v>
      </c>
      <c r="J522" s="5" t="str">
        <f aca="false">CONCATENATE(B522," ",C522)</f>
        <v>lange rs</v>
      </c>
      <c r="K522" s="5" t="str">
        <f aca="false">IF(D522&lt;80,VLOOKUP(D522,R:S,2,FALSE()),CONCATENATE(D522," cm"))</f>
        <v>29 (EU) / 18 (MP)</v>
      </c>
      <c r="L522" s="17" t="n">
        <f aca="false">E522</f>
        <v>29</v>
      </c>
    </row>
    <row r="523" customFormat="false" ht="15" hidden="false" customHeight="false" outlineLevel="0" collapsed="false">
      <c r="A523" s="12" t="s">
        <v>742</v>
      </c>
      <c r="B523" s="13" t="s">
        <v>492</v>
      </c>
      <c r="C523" s="14" t="s">
        <v>449</v>
      </c>
      <c r="D523" s="15" t="n">
        <v>28</v>
      </c>
      <c r="E523" s="16" t="n">
        <v>29</v>
      </c>
      <c r="F523" s="13" t="s">
        <v>51</v>
      </c>
      <c r="G523" s="15" t="n">
        <v>1</v>
      </c>
      <c r="H523" s="5" t="str">
        <f aca="false">SUBSTITUTE(A523,"MS","",1)</f>
        <v>54268</v>
      </c>
      <c r="I523" s="5" t="str">
        <f aca="false">VLOOKUP(F523,O:P,2,FALSE())</f>
        <v>Chaussures Alpin </v>
      </c>
      <c r="J523" s="5" t="str">
        <f aca="false">CONCATENATE(B523," ",C523)</f>
        <v>lange rs</v>
      </c>
      <c r="K523" s="5" t="str">
        <f aca="false">IF(D523&lt;80,VLOOKUP(D523,R:S,2,FALSE()),CONCATENATE(D523," cm"))</f>
        <v>28 (EU) / 17 (MP)</v>
      </c>
      <c r="L523" s="17" t="n">
        <f aca="false">E523</f>
        <v>29</v>
      </c>
    </row>
    <row r="524" customFormat="false" ht="15" hidden="false" customHeight="false" outlineLevel="0" collapsed="false">
      <c r="A524" s="12" t="s">
        <v>743</v>
      </c>
      <c r="B524" s="13" t="s">
        <v>505</v>
      </c>
      <c r="C524" s="14" t="s">
        <v>632</v>
      </c>
      <c r="D524" s="15" t="n">
        <v>28</v>
      </c>
      <c r="E524" s="16" t="n">
        <v>29</v>
      </c>
      <c r="F524" s="13" t="s">
        <v>51</v>
      </c>
      <c r="G524" s="15" t="n">
        <v>1</v>
      </c>
      <c r="H524" s="5" t="str">
        <f aca="false">SUBSTITUTE(A524,"MS","",1)</f>
        <v>54269</v>
      </c>
      <c r="I524" s="5" t="str">
        <f aca="false">VLOOKUP(F524,O:P,2,FALSE())</f>
        <v>Chaussures Alpin </v>
      </c>
      <c r="J524" s="5" t="str">
        <f aca="false">CONCATENATE(B524," ",C524)</f>
        <v>tecnica cochise</v>
      </c>
      <c r="K524" s="5" t="str">
        <f aca="false">IF(D524&lt;80,VLOOKUP(D524,R:S,2,FALSE()),CONCATENATE(D524," cm"))</f>
        <v>28 (EU) / 17 (MP)</v>
      </c>
      <c r="L524" s="17" t="n">
        <f aca="false">E524</f>
        <v>29</v>
      </c>
    </row>
    <row r="525" customFormat="false" ht="15" hidden="false" customHeight="false" outlineLevel="0" collapsed="false">
      <c r="A525" s="12" t="s">
        <v>744</v>
      </c>
      <c r="B525" s="13" t="s">
        <v>505</v>
      </c>
      <c r="C525" s="14" t="s">
        <v>632</v>
      </c>
      <c r="D525" s="15" t="n">
        <v>28</v>
      </c>
      <c r="E525" s="16" t="n">
        <v>29</v>
      </c>
      <c r="F525" s="13" t="s">
        <v>51</v>
      </c>
      <c r="G525" s="15" t="n">
        <v>1</v>
      </c>
      <c r="H525" s="5" t="str">
        <f aca="false">SUBSTITUTE(A525,"MS","",1)</f>
        <v>54270</v>
      </c>
      <c r="I525" s="5" t="str">
        <f aca="false">VLOOKUP(F525,O:P,2,FALSE())</f>
        <v>Chaussures Alpin </v>
      </c>
      <c r="J525" s="5" t="str">
        <f aca="false">CONCATENATE(B525," ",C525)</f>
        <v>tecnica cochise</v>
      </c>
      <c r="K525" s="5" t="str">
        <f aca="false">IF(D525&lt;80,VLOOKUP(D525,R:S,2,FALSE()),CONCATENATE(D525," cm"))</f>
        <v>28 (EU) / 17 (MP)</v>
      </c>
      <c r="L525" s="17" t="n">
        <f aca="false">E525</f>
        <v>29</v>
      </c>
    </row>
    <row r="526" customFormat="false" ht="15" hidden="false" customHeight="false" outlineLevel="0" collapsed="false">
      <c r="A526" s="12" t="s">
        <v>745</v>
      </c>
      <c r="B526" s="13" t="s">
        <v>505</v>
      </c>
      <c r="C526" s="14" t="s">
        <v>632</v>
      </c>
      <c r="D526" s="15" t="n">
        <v>28</v>
      </c>
      <c r="E526" s="16" t="n">
        <v>29</v>
      </c>
      <c r="F526" s="13" t="s">
        <v>51</v>
      </c>
      <c r="G526" s="15" t="n">
        <v>1</v>
      </c>
      <c r="H526" s="5" t="str">
        <f aca="false">SUBSTITUTE(A526,"MS","",1)</f>
        <v>54271</v>
      </c>
      <c r="I526" s="5" t="str">
        <f aca="false">VLOOKUP(F526,O:P,2,FALSE())</f>
        <v>Chaussures Alpin </v>
      </c>
      <c r="J526" s="5" t="str">
        <f aca="false">CONCATENATE(B526," ",C526)</f>
        <v>tecnica cochise</v>
      </c>
      <c r="K526" s="5" t="str">
        <f aca="false">IF(D526&lt;80,VLOOKUP(D526,R:S,2,FALSE()),CONCATENATE(D526," cm"))</f>
        <v>28 (EU) / 17 (MP)</v>
      </c>
      <c r="L526" s="17" t="n">
        <f aca="false">E526</f>
        <v>29</v>
      </c>
    </row>
    <row r="527" customFormat="false" ht="15" hidden="false" customHeight="false" outlineLevel="0" collapsed="false">
      <c r="A527" s="12" t="s">
        <v>746</v>
      </c>
      <c r="B527" s="13" t="s">
        <v>505</v>
      </c>
      <c r="C527" s="14" t="s">
        <v>359</v>
      </c>
      <c r="D527" s="15" t="n">
        <v>28</v>
      </c>
      <c r="E527" s="16" t="n">
        <v>29</v>
      </c>
      <c r="F527" s="13" t="s">
        <v>51</v>
      </c>
      <c r="G527" s="15" t="n">
        <v>1</v>
      </c>
      <c r="H527" s="5" t="str">
        <f aca="false">SUBSTITUTE(A527,"MS","",1)</f>
        <v>54272</v>
      </c>
      <c r="I527" s="5" t="str">
        <f aca="false">VLOOKUP(F527,O:P,2,FALSE())</f>
        <v>Chaussures Alpin </v>
      </c>
      <c r="J527" s="5" t="str">
        <f aca="false">CONCATENATE(B527," ",C527)</f>
        <v>tecnica jr</v>
      </c>
      <c r="K527" s="5" t="str">
        <f aca="false">IF(D527&lt;80,VLOOKUP(D527,R:S,2,FALSE()),CONCATENATE(D527," cm"))</f>
        <v>28 (EU) / 17 (MP)</v>
      </c>
      <c r="L527" s="17" t="n">
        <f aca="false">E527</f>
        <v>29</v>
      </c>
    </row>
    <row r="528" customFormat="false" ht="15" hidden="false" customHeight="false" outlineLevel="0" collapsed="false">
      <c r="A528" s="12" t="s">
        <v>747</v>
      </c>
      <c r="B528" s="13" t="s">
        <v>358</v>
      </c>
      <c r="C528" s="14" t="s">
        <v>359</v>
      </c>
      <c r="D528" s="15" t="n">
        <v>27</v>
      </c>
      <c r="E528" s="16" t="n">
        <v>29</v>
      </c>
      <c r="F528" s="13" t="s">
        <v>51</v>
      </c>
      <c r="G528" s="15" t="n">
        <v>1</v>
      </c>
      <c r="H528" s="5" t="str">
        <f aca="false">SUBSTITUTE(A528,"MS","",1)</f>
        <v>54273</v>
      </c>
      <c r="I528" s="5" t="str">
        <f aca="false">VLOOKUP(F528,O:P,2,FALSE())</f>
        <v>Chaussures Alpin </v>
      </c>
      <c r="J528" s="5" t="str">
        <f aca="false">CONCATENATE(B528," ",C528)</f>
        <v>nordica jr</v>
      </c>
      <c r="K528" s="5" t="str">
        <f aca="false">IF(D528&lt;80,VLOOKUP(D528,R:S,2,FALSE()),CONCATENATE(D528," cm"))</f>
        <v>27 (EU) / 17 (MP)</v>
      </c>
      <c r="L528" s="17" t="n">
        <f aca="false">E528</f>
        <v>29</v>
      </c>
    </row>
    <row r="529" customFormat="false" ht="15" hidden="false" customHeight="false" outlineLevel="0" collapsed="false">
      <c r="A529" s="12" t="s">
        <v>748</v>
      </c>
      <c r="B529" s="13" t="s">
        <v>505</v>
      </c>
      <c r="C529" s="14" t="s">
        <v>632</v>
      </c>
      <c r="D529" s="15" t="n">
        <v>27</v>
      </c>
      <c r="E529" s="16" t="n">
        <v>29</v>
      </c>
      <c r="F529" s="13" t="s">
        <v>51</v>
      </c>
      <c r="G529" s="15" t="n">
        <v>1</v>
      </c>
      <c r="H529" s="5" t="str">
        <f aca="false">SUBSTITUTE(A529,"MS","",1)</f>
        <v>54274</v>
      </c>
      <c r="I529" s="5" t="str">
        <f aca="false">VLOOKUP(F529,O:P,2,FALSE())</f>
        <v>Chaussures Alpin </v>
      </c>
      <c r="J529" s="5" t="str">
        <f aca="false">CONCATENATE(B529," ",C529)</f>
        <v>tecnica cochise</v>
      </c>
      <c r="K529" s="5" t="str">
        <f aca="false">IF(D529&lt;80,VLOOKUP(D529,R:S,2,FALSE()),CONCATENATE(D529," cm"))</f>
        <v>27 (EU) / 17 (MP)</v>
      </c>
      <c r="L529" s="17" t="n">
        <f aca="false">E529</f>
        <v>29</v>
      </c>
    </row>
    <row r="530" customFormat="false" ht="15" hidden="false" customHeight="false" outlineLevel="0" collapsed="false">
      <c r="A530" s="12" t="s">
        <v>749</v>
      </c>
      <c r="B530" s="13" t="s">
        <v>505</v>
      </c>
      <c r="C530" s="14" t="s">
        <v>632</v>
      </c>
      <c r="D530" s="15" t="n">
        <v>27</v>
      </c>
      <c r="E530" s="16" t="n">
        <v>29</v>
      </c>
      <c r="F530" s="13" t="s">
        <v>51</v>
      </c>
      <c r="G530" s="15" t="n">
        <v>1</v>
      </c>
      <c r="H530" s="5" t="str">
        <f aca="false">SUBSTITUTE(A530,"MS","",1)</f>
        <v>54275</v>
      </c>
      <c r="I530" s="5" t="str">
        <f aca="false">VLOOKUP(F530,O:P,2,FALSE())</f>
        <v>Chaussures Alpin </v>
      </c>
      <c r="J530" s="5" t="str">
        <f aca="false">CONCATENATE(B530," ",C530)</f>
        <v>tecnica cochise</v>
      </c>
      <c r="K530" s="5" t="str">
        <f aca="false">IF(D530&lt;80,VLOOKUP(D530,R:S,2,FALSE()),CONCATENATE(D530," cm"))</f>
        <v>27 (EU) / 17 (MP)</v>
      </c>
      <c r="L530" s="17" t="n">
        <f aca="false">E530</f>
        <v>29</v>
      </c>
    </row>
    <row r="531" customFormat="false" ht="15" hidden="false" customHeight="false" outlineLevel="0" collapsed="false">
      <c r="A531" s="12" t="s">
        <v>750</v>
      </c>
      <c r="B531" s="13" t="s">
        <v>444</v>
      </c>
      <c r="C531" s="14" t="s">
        <v>751</v>
      </c>
      <c r="D531" s="15" t="n">
        <v>27</v>
      </c>
      <c r="E531" s="16" t="n">
        <v>19</v>
      </c>
      <c r="F531" s="13" t="s">
        <v>51</v>
      </c>
      <c r="G531" s="15" t="n">
        <v>1</v>
      </c>
      <c r="H531" s="5" t="str">
        <f aca="false">SUBSTITUTE(A531,"MS","",1)</f>
        <v>54276</v>
      </c>
      <c r="I531" s="5" t="str">
        <f aca="false">VLOOKUP(F531,O:P,2,FALSE())</f>
        <v>Chaussures Alpin </v>
      </c>
      <c r="J531" s="5" t="str">
        <f aca="false">CONCATENATE(B531," ",C531)</f>
        <v>salomon mini</v>
      </c>
      <c r="K531" s="5" t="str">
        <f aca="false">IF(D531&lt;80,VLOOKUP(D531,R:S,2,FALSE()),CONCATENATE(D531," cm"))</f>
        <v>27 (EU) / 17 (MP)</v>
      </c>
      <c r="L531" s="17" t="n">
        <f aca="false">E531</f>
        <v>19</v>
      </c>
    </row>
    <row r="532" customFormat="false" ht="15" hidden="false" customHeight="false" outlineLevel="0" collapsed="false">
      <c r="A532" s="12" t="s">
        <v>752</v>
      </c>
      <c r="B532" s="13" t="s">
        <v>368</v>
      </c>
      <c r="C532" s="14" t="s">
        <v>751</v>
      </c>
      <c r="D532" s="15" t="n">
        <v>27</v>
      </c>
      <c r="E532" s="16" t="n">
        <v>19</v>
      </c>
      <c r="F532" s="13" t="s">
        <v>51</v>
      </c>
      <c r="G532" s="15" t="n">
        <v>1</v>
      </c>
      <c r="H532" s="5" t="str">
        <f aca="false">SUBSTITUTE(A532,"MS","",1)</f>
        <v>54277</v>
      </c>
      <c r="I532" s="5" t="str">
        <f aca="false">VLOOKUP(F532,O:P,2,FALSE())</f>
        <v>Chaussures Alpin </v>
      </c>
      <c r="J532" s="5" t="str">
        <f aca="false">CONCATENATE(B532," ",C532)</f>
        <v>rossignol mini</v>
      </c>
      <c r="K532" s="5" t="str">
        <f aca="false">IF(D532&lt;80,VLOOKUP(D532,R:S,2,FALSE()),CONCATENATE(D532," cm"))</f>
        <v>27 (EU) / 17 (MP)</v>
      </c>
      <c r="L532" s="17" t="n">
        <f aca="false">E532</f>
        <v>19</v>
      </c>
    </row>
    <row r="533" customFormat="false" ht="15" hidden="false" customHeight="false" outlineLevel="0" collapsed="false">
      <c r="A533" s="12" t="s">
        <v>753</v>
      </c>
      <c r="B533" s="13" t="s">
        <v>492</v>
      </c>
      <c r="C533" s="14" t="s">
        <v>751</v>
      </c>
      <c r="D533" s="15" t="n">
        <v>30</v>
      </c>
      <c r="E533" s="16" t="n">
        <v>19</v>
      </c>
      <c r="F533" s="13" t="s">
        <v>51</v>
      </c>
      <c r="G533" s="15" t="n">
        <v>1</v>
      </c>
      <c r="H533" s="5" t="str">
        <f aca="false">SUBSTITUTE(A533,"MS","",1)</f>
        <v>54278</v>
      </c>
      <c r="I533" s="5" t="str">
        <f aca="false">VLOOKUP(F533,O:P,2,FALSE())</f>
        <v>Chaussures Alpin </v>
      </c>
      <c r="J533" s="5" t="str">
        <f aca="false">CONCATENATE(B533," ",C533)</f>
        <v>lange mini</v>
      </c>
      <c r="K533" s="5" t="str">
        <f aca="false">IF(D533&lt;80,VLOOKUP(D533,R:S,2,FALSE()),CONCATENATE(D533," cm"))</f>
        <v>30 (EU) / 19 (MP)</v>
      </c>
      <c r="L533" s="17" t="n">
        <f aca="false">E533</f>
        <v>19</v>
      </c>
    </row>
    <row r="534" customFormat="false" ht="15" hidden="false" customHeight="false" outlineLevel="0" collapsed="false">
      <c r="A534" s="12" t="s">
        <v>754</v>
      </c>
      <c r="B534" s="13" t="s">
        <v>368</v>
      </c>
      <c r="C534" s="14" t="s">
        <v>751</v>
      </c>
      <c r="D534" s="15" t="n">
        <v>30</v>
      </c>
      <c r="E534" s="16" t="n">
        <v>19</v>
      </c>
      <c r="F534" s="13" t="s">
        <v>51</v>
      </c>
      <c r="G534" s="15" t="n">
        <v>1</v>
      </c>
      <c r="H534" s="5" t="str">
        <f aca="false">SUBSTITUTE(A534,"MS","",1)</f>
        <v>54279</v>
      </c>
      <c r="I534" s="5" t="str">
        <f aca="false">VLOOKUP(F534,O:P,2,FALSE())</f>
        <v>Chaussures Alpin </v>
      </c>
      <c r="J534" s="5" t="str">
        <f aca="false">CONCATENATE(B534," ",C534)</f>
        <v>rossignol mini</v>
      </c>
      <c r="K534" s="5" t="str">
        <f aca="false">IF(D534&lt;80,VLOOKUP(D534,R:S,2,FALSE()),CONCATENATE(D534," cm"))</f>
        <v>30 (EU) / 19 (MP)</v>
      </c>
      <c r="L534" s="17" t="n">
        <f aca="false">E534</f>
        <v>19</v>
      </c>
    </row>
    <row r="535" customFormat="false" ht="15" hidden="false" customHeight="false" outlineLevel="0" collapsed="false">
      <c r="A535" s="12" t="s">
        <v>755</v>
      </c>
      <c r="B535" s="13" t="s">
        <v>368</v>
      </c>
      <c r="C535" s="14" t="s">
        <v>751</v>
      </c>
      <c r="D535" s="15" t="n">
        <v>29</v>
      </c>
      <c r="E535" s="16" t="n">
        <v>19</v>
      </c>
      <c r="F535" s="13" t="s">
        <v>51</v>
      </c>
      <c r="G535" s="15" t="n">
        <v>1</v>
      </c>
      <c r="H535" s="5" t="str">
        <f aca="false">SUBSTITUTE(A535,"MS","",1)</f>
        <v>54280</v>
      </c>
      <c r="I535" s="5" t="str">
        <f aca="false">VLOOKUP(F535,O:P,2,FALSE())</f>
        <v>Chaussures Alpin </v>
      </c>
      <c r="J535" s="5" t="str">
        <f aca="false">CONCATENATE(B535," ",C535)</f>
        <v>rossignol mini</v>
      </c>
      <c r="K535" s="5" t="str">
        <f aca="false">IF(D535&lt;80,VLOOKUP(D535,R:S,2,FALSE()),CONCATENATE(D535," cm"))</f>
        <v>29 (EU) / 18 (MP)</v>
      </c>
      <c r="L535" s="17" t="n">
        <f aca="false">E535</f>
        <v>19</v>
      </c>
    </row>
    <row r="536" customFormat="false" ht="15" hidden="false" customHeight="false" outlineLevel="0" collapsed="false">
      <c r="A536" s="12" t="s">
        <v>756</v>
      </c>
      <c r="B536" s="13" t="s">
        <v>358</v>
      </c>
      <c r="C536" s="14" t="s">
        <v>359</v>
      </c>
      <c r="D536" s="15" t="n">
        <v>27</v>
      </c>
      <c r="E536" s="16" t="n">
        <v>25</v>
      </c>
      <c r="F536" s="13" t="s">
        <v>51</v>
      </c>
      <c r="G536" s="15" t="n">
        <v>1</v>
      </c>
      <c r="H536" s="5" t="str">
        <f aca="false">SUBSTITUTE(A536,"MS","",1)</f>
        <v>54281</v>
      </c>
      <c r="I536" s="5" t="str">
        <f aca="false">VLOOKUP(F536,O:P,2,FALSE())</f>
        <v>Chaussures Alpin </v>
      </c>
      <c r="J536" s="5" t="str">
        <f aca="false">CONCATENATE(B536," ",C536)</f>
        <v>nordica jr</v>
      </c>
      <c r="K536" s="5" t="str">
        <f aca="false">IF(D536&lt;80,VLOOKUP(D536,R:S,2,FALSE()),CONCATENATE(D536," cm"))</f>
        <v>27 (EU) / 17 (MP)</v>
      </c>
      <c r="L536" s="17" t="n">
        <f aca="false">E536</f>
        <v>25</v>
      </c>
    </row>
    <row r="537" customFormat="false" ht="15" hidden="false" customHeight="false" outlineLevel="0" collapsed="false">
      <c r="A537" s="12" t="s">
        <v>757</v>
      </c>
      <c r="B537" s="13" t="s">
        <v>368</v>
      </c>
      <c r="C537" s="14" t="s">
        <v>751</v>
      </c>
      <c r="D537" s="15" t="n">
        <v>27</v>
      </c>
      <c r="E537" s="16" t="n">
        <v>19</v>
      </c>
      <c r="F537" s="13" t="s">
        <v>51</v>
      </c>
      <c r="G537" s="15" t="n">
        <v>1</v>
      </c>
      <c r="H537" s="5" t="str">
        <f aca="false">SUBSTITUTE(A537,"MS","",1)</f>
        <v>54282</v>
      </c>
      <c r="I537" s="5" t="str">
        <f aca="false">VLOOKUP(F537,O:P,2,FALSE())</f>
        <v>Chaussures Alpin </v>
      </c>
      <c r="J537" s="5" t="str">
        <f aca="false">CONCATENATE(B537," ",C537)</f>
        <v>rossignol mini</v>
      </c>
      <c r="K537" s="5" t="str">
        <f aca="false">IF(D537&lt;80,VLOOKUP(D537,R:S,2,FALSE()),CONCATENATE(D537," cm"))</f>
        <v>27 (EU) / 17 (MP)</v>
      </c>
      <c r="L537" s="17" t="n">
        <f aca="false">E537</f>
        <v>19</v>
      </c>
    </row>
    <row r="538" customFormat="false" ht="15" hidden="false" customHeight="false" outlineLevel="0" collapsed="false">
      <c r="A538" s="12" t="s">
        <v>758</v>
      </c>
      <c r="B538" s="13" t="s">
        <v>368</v>
      </c>
      <c r="C538" s="14" t="s">
        <v>751</v>
      </c>
      <c r="D538" s="15" t="n">
        <v>27</v>
      </c>
      <c r="E538" s="16" t="n">
        <v>19</v>
      </c>
      <c r="F538" s="13" t="s">
        <v>51</v>
      </c>
      <c r="G538" s="15" t="n">
        <v>1</v>
      </c>
      <c r="H538" s="5" t="str">
        <f aca="false">SUBSTITUTE(A538,"MS","",1)</f>
        <v>54283</v>
      </c>
      <c r="I538" s="5" t="str">
        <f aca="false">VLOOKUP(F538,O:P,2,FALSE())</f>
        <v>Chaussures Alpin </v>
      </c>
      <c r="J538" s="5" t="str">
        <f aca="false">CONCATENATE(B538," ",C538)</f>
        <v>rossignol mini</v>
      </c>
      <c r="K538" s="5" t="str">
        <f aca="false">IF(D538&lt;80,VLOOKUP(D538,R:S,2,FALSE()),CONCATENATE(D538," cm"))</f>
        <v>27 (EU) / 17 (MP)</v>
      </c>
      <c r="L538" s="17" t="n">
        <f aca="false">E538</f>
        <v>19</v>
      </c>
    </row>
    <row r="539" customFormat="false" ht="15" hidden="false" customHeight="false" outlineLevel="0" collapsed="false">
      <c r="A539" s="12" t="s">
        <v>759</v>
      </c>
      <c r="B539" s="13" t="s">
        <v>368</v>
      </c>
      <c r="C539" s="14" t="s">
        <v>751</v>
      </c>
      <c r="D539" s="15" t="n">
        <v>26</v>
      </c>
      <c r="E539" s="16" t="n">
        <v>19</v>
      </c>
      <c r="F539" s="13" t="s">
        <v>51</v>
      </c>
      <c r="G539" s="15" t="n">
        <v>1</v>
      </c>
      <c r="H539" s="5" t="str">
        <f aca="false">SUBSTITUTE(A539,"MS","",1)</f>
        <v>54284</v>
      </c>
      <c r="I539" s="5" t="str">
        <f aca="false">VLOOKUP(F539,O:P,2,FALSE())</f>
        <v>Chaussures Alpin </v>
      </c>
      <c r="J539" s="5" t="str">
        <f aca="false">CONCATENATE(B539," ",C539)</f>
        <v>rossignol mini</v>
      </c>
      <c r="K539" s="5" t="str">
        <f aca="false">IF(D539&lt;80,VLOOKUP(D539,R:S,2,FALSE()),CONCATENATE(D539," cm"))</f>
        <v>26 (EU) / 16 (MP)</v>
      </c>
      <c r="L539" s="17" t="n">
        <f aca="false">E539</f>
        <v>19</v>
      </c>
    </row>
    <row r="540" customFormat="false" ht="15" hidden="false" customHeight="false" outlineLevel="0" collapsed="false">
      <c r="A540" s="12" t="s">
        <v>760</v>
      </c>
      <c r="B540" s="13" t="s">
        <v>240</v>
      </c>
      <c r="C540" s="14" t="s">
        <v>751</v>
      </c>
      <c r="D540" s="15" t="n">
        <v>26</v>
      </c>
      <c r="E540" s="16" t="n">
        <v>19</v>
      </c>
      <c r="F540" s="13" t="s">
        <v>51</v>
      </c>
      <c r="G540" s="15" t="n">
        <v>1</v>
      </c>
      <c r="H540" s="5" t="str">
        <f aca="false">SUBSTITUTE(A540,"MS","",1)</f>
        <v>54285</v>
      </c>
      <c r="I540" s="5" t="str">
        <f aca="false">VLOOKUP(F540,O:P,2,FALSE())</f>
        <v>Chaussures Alpin </v>
      </c>
      <c r="J540" s="5" t="str">
        <f aca="false">CONCATENATE(B540," ",C540)</f>
        <v>head mini</v>
      </c>
      <c r="K540" s="5" t="str">
        <f aca="false">IF(D540&lt;80,VLOOKUP(D540,R:S,2,FALSE()),CONCATENATE(D540," cm"))</f>
        <v>26 (EU) / 16 (MP)</v>
      </c>
      <c r="L540" s="17" t="n">
        <f aca="false">E540</f>
        <v>19</v>
      </c>
    </row>
    <row r="541" customFormat="false" ht="15" hidden="false" customHeight="false" outlineLevel="0" collapsed="false">
      <c r="A541" s="12" t="s">
        <v>761</v>
      </c>
      <c r="B541" s="13" t="s">
        <v>240</v>
      </c>
      <c r="C541" s="14" t="s">
        <v>751</v>
      </c>
      <c r="D541" s="15" t="n">
        <v>26</v>
      </c>
      <c r="E541" s="16" t="n">
        <v>19</v>
      </c>
      <c r="F541" s="13" t="s">
        <v>51</v>
      </c>
      <c r="G541" s="15" t="n">
        <v>1</v>
      </c>
      <c r="H541" s="5" t="str">
        <f aca="false">SUBSTITUTE(A541,"MS","",1)</f>
        <v>54286</v>
      </c>
      <c r="I541" s="5" t="str">
        <f aca="false">VLOOKUP(F541,O:P,2,FALSE())</f>
        <v>Chaussures Alpin </v>
      </c>
      <c r="J541" s="5" t="str">
        <f aca="false">CONCATENATE(B541," ",C541)</f>
        <v>head mini</v>
      </c>
      <c r="K541" s="5" t="str">
        <f aca="false">IF(D541&lt;80,VLOOKUP(D541,R:S,2,FALSE()),CONCATENATE(D541," cm"))</f>
        <v>26 (EU) / 16 (MP)</v>
      </c>
      <c r="L541" s="17" t="n">
        <f aca="false">E541</f>
        <v>19</v>
      </c>
    </row>
    <row r="542" customFormat="false" ht="15" hidden="false" customHeight="false" outlineLevel="0" collapsed="false">
      <c r="A542" s="12" t="s">
        <v>762</v>
      </c>
      <c r="B542" s="13" t="s">
        <v>444</v>
      </c>
      <c r="C542" s="14" t="s">
        <v>751</v>
      </c>
      <c r="D542" s="15" t="n">
        <v>25</v>
      </c>
      <c r="E542" s="16" t="n">
        <v>19</v>
      </c>
      <c r="F542" s="13" t="s">
        <v>51</v>
      </c>
      <c r="G542" s="15" t="n">
        <v>1</v>
      </c>
      <c r="H542" s="5" t="str">
        <f aca="false">SUBSTITUTE(A542,"MS","",1)</f>
        <v>54287</v>
      </c>
      <c r="I542" s="5" t="str">
        <f aca="false">VLOOKUP(F542,O:P,2,FALSE())</f>
        <v>Chaussures Alpin </v>
      </c>
      <c r="J542" s="5" t="str">
        <f aca="false">CONCATENATE(B542," ",C542)</f>
        <v>salomon mini</v>
      </c>
      <c r="K542" s="5" t="str">
        <f aca="false">IF(D542&lt;80,VLOOKUP(D542,R:S,2,FALSE()),CONCATENATE(D542," cm"))</f>
        <v>25 (EU) / 16 (MP)</v>
      </c>
      <c r="L542" s="17" t="n">
        <f aca="false">E542</f>
        <v>19</v>
      </c>
    </row>
    <row r="543" customFormat="false" ht="15" hidden="false" customHeight="false" outlineLevel="0" collapsed="false">
      <c r="A543" s="12" t="s">
        <v>763</v>
      </c>
      <c r="B543" s="13" t="s">
        <v>444</v>
      </c>
      <c r="C543" s="14" t="s">
        <v>751</v>
      </c>
      <c r="D543" s="15" t="n">
        <v>25</v>
      </c>
      <c r="E543" s="16" t="n">
        <v>19</v>
      </c>
      <c r="F543" s="13" t="s">
        <v>51</v>
      </c>
      <c r="G543" s="15" t="n">
        <v>1</v>
      </c>
      <c r="H543" s="5" t="str">
        <f aca="false">SUBSTITUTE(A543,"MS","",1)</f>
        <v>54288</v>
      </c>
      <c r="I543" s="5" t="str">
        <f aca="false">VLOOKUP(F543,O:P,2,FALSE())</f>
        <v>Chaussures Alpin </v>
      </c>
      <c r="J543" s="5" t="str">
        <f aca="false">CONCATENATE(B543," ",C543)</f>
        <v>salomon mini</v>
      </c>
      <c r="K543" s="5" t="str">
        <f aca="false">IF(D543&lt;80,VLOOKUP(D543,R:S,2,FALSE()),CONCATENATE(D543," cm"))</f>
        <v>25 (EU) / 16 (MP)</v>
      </c>
      <c r="L543" s="17" t="n">
        <f aca="false">E543</f>
        <v>19</v>
      </c>
    </row>
    <row r="544" customFormat="false" ht="15" hidden="false" customHeight="false" outlineLevel="0" collapsed="false">
      <c r="A544" s="12" t="s">
        <v>764</v>
      </c>
      <c r="B544" s="13" t="s">
        <v>368</v>
      </c>
      <c r="C544" s="14" t="s">
        <v>751</v>
      </c>
      <c r="D544" s="15" t="n">
        <v>25</v>
      </c>
      <c r="E544" s="16" t="n">
        <v>19</v>
      </c>
      <c r="F544" s="13" t="s">
        <v>51</v>
      </c>
      <c r="G544" s="15" t="n">
        <v>1</v>
      </c>
      <c r="H544" s="5" t="str">
        <f aca="false">SUBSTITUTE(A544,"MS","",1)</f>
        <v>54289</v>
      </c>
      <c r="I544" s="5" t="str">
        <f aca="false">VLOOKUP(F544,O:P,2,FALSE())</f>
        <v>Chaussures Alpin </v>
      </c>
      <c r="J544" s="5" t="str">
        <f aca="false">CONCATENATE(B544," ",C544)</f>
        <v>rossignol mini</v>
      </c>
      <c r="K544" s="5" t="str">
        <f aca="false">IF(D544&lt;80,VLOOKUP(D544,R:S,2,FALSE()),CONCATENATE(D544," cm"))</f>
        <v>25 (EU) / 16 (MP)</v>
      </c>
      <c r="L544" s="17" t="n">
        <f aca="false">E544</f>
        <v>19</v>
      </c>
    </row>
    <row r="545" customFormat="false" ht="15" hidden="false" customHeight="false" outlineLevel="0" collapsed="false">
      <c r="A545" s="12" t="s">
        <v>765</v>
      </c>
      <c r="B545" s="13" t="s">
        <v>368</v>
      </c>
      <c r="C545" s="14" t="s">
        <v>751</v>
      </c>
      <c r="D545" s="15" t="n">
        <v>25</v>
      </c>
      <c r="E545" s="16" t="n">
        <v>19</v>
      </c>
      <c r="F545" s="13" t="s">
        <v>51</v>
      </c>
      <c r="G545" s="15" t="n">
        <v>1</v>
      </c>
      <c r="H545" s="5" t="str">
        <f aca="false">SUBSTITUTE(A545,"MS","",1)</f>
        <v>54290</v>
      </c>
      <c r="I545" s="5" t="str">
        <f aca="false">VLOOKUP(F545,O:P,2,FALSE())</f>
        <v>Chaussures Alpin </v>
      </c>
      <c r="J545" s="5" t="str">
        <f aca="false">CONCATENATE(B545," ",C545)</f>
        <v>rossignol mini</v>
      </c>
      <c r="K545" s="5" t="str">
        <f aca="false">IF(D545&lt;80,VLOOKUP(D545,R:S,2,FALSE()),CONCATENATE(D545," cm"))</f>
        <v>25 (EU) / 16 (MP)</v>
      </c>
      <c r="L545" s="17" t="n">
        <f aca="false">E545</f>
        <v>19</v>
      </c>
    </row>
    <row r="546" customFormat="false" ht="15" hidden="false" customHeight="false" outlineLevel="0" collapsed="false">
      <c r="A546" s="12" t="s">
        <v>766</v>
      </c>
      <c r="B546" s="13" t="s">
        <v>368</v>
      </c>
      <c r="C546" s="14" t="s">
        <v>751</v>
      </c>
      <c r="D546" s="15" t="n">
        <v>25</v>
      </c>
      <c r="E546" s="16" t="n">
        <v>19</v>
      </c>
      <c r="F546" s="13" t="s">
        <v>51</v>
      </c>
      <c r="G546" s="15" t="n">
        <v>1</v>
      </c>
      <c r="H546" s="5" t="str">
        <f aca="false">SUBSTITUTE(A546,"MS","",1)</f>
        <v>54291</v>
      </c>
      <c r="I546" s="5" t="str">
        <f aca="false">VLOOKUP(F546,O:P,2,FALSE())</f>
        <v>Chaussures Alpin </v>
      </c>
      <c r="J546" s="5" t="str">
        <f aca="false">CONCATENATE(B546," ",C546)</f>
        <v>rossignol mini</v>
      </c>
      <c r="K546" s="5" t="str">
        <f aca="false">IF(D546&lt;80,VLOOKUP(D546,R:S,2,FALSE()),CONCATENATE(D546," cm"))</f>
        <v>25 (EU) / 16 (MP)</v>
      </c>
      <c r="L546" s="17" t="n">
        <f aca="false">E546</f>
        <v>19</v>
      </c>
    </row>
    <row r="547" customFormat="false" ht="15" hidden="false" customHeight="false" outlineLevel="0" collapsed="false">
      <c r="A547" s="15" t="s">
        <v>767</v>
      </c>
      <c r="B547" s="15" t="s">
        <v>768</v>
      </c>
      <c r="C547" s="15" t="s">
        <v>769</v>
      </c>
      <c r="D547" s="15" t="n">
        <v>158</v>
      </c>
      <c r="E547" s="15" t="n">
        <v>145</v>
      </c>
      <c r="F547" s="15" t="s">
        <v>54</v>
      </c>
      <c r="G547" s="15" t="n">
        <v>1</v>
      </c>
      <c r="H547" s="5" t="str">
        <f aca="false">SUBSTITUTE(A547,"MS","",1)</f>
        <v>54458</v>
      </c>
      <c r="I547" s="5" t="str">
        <f aca="false">VLOOKUP(F547,O:P,2,FALSE())</f>
        <v>Snowboard (avec fixation)</v>
      </c>
      <c r="J547" s="5" t="str">
        <f aca="false">CONCATENATE(B547," ",C547)</f>
        <v>nitro smp</v>
      </c>
      <c r="K547" s="5" t="str">
        <f aca="false">IF(D547&lt;80,VLOOKUP(D547,R:S,2,FALSE()),CONCATENATE(D547," cm"))</f>
        <v>158 cm</v>
      </c>
      <c r="L547" s="17" t="n">
        <f aca="false">E547</f>
        <v>145</v>
      </c>
    </row>
    <row r="548" customFormat="false" ht="15" hidden="false" customHeight="false" outlineLevel="0" collapsed="false">
      <c r="A548" s="15" t="s">
        <v>770</v>
      </c>
      <c r="B548" s="15" t="s">
        <v>768</v>
      </c>
      <c r="C548" s="15" t="s">
        <v>393</v>
      </c>
      <c r="D548" s="15" t="n">
        <v>157</v>
      </c>
      <c r="E548" s="15" t="n">
        <v>125</v>
      </c>
      <c r="F548" s="15" t="s">
        <v>54</v>
      </c>
      <c r="G548" s="15" t="n">
        <v>1</v>
      </c>
      <c r="H548" s="5" t="str">
        <f aca="false">SUBSTITUTE(A548,"MS","",1)</f>
        <v>54461</v>
      </c>
      <c r="I548" s="5" t="str">
        <f aca="false">VLOOKUP(F548,O:P,2,FALSE())</f>
        <v>Snowboard (avec fixation)</v>
      </c>
      <c r="J548" s="5" t="str">
        <f aca="false">CONCATENATE(B548," ",C548)</f>
        <v>nitro team</v>
      </c>
      <c r="K548" s="5" t="str">
        <f aca="false">IF(D548&lt;80,VLOOKUP(D548,R:S,2,FALSE()),CONCATENATE(D548," cm"))</f>
        <v>157 cm</v>
      </c>
      <c r="L548" s="17" t="n">
        <f aca="false">E548</f>
        <v>125</v>
      </c>
    </row>
    <row r="549" customFormat="false" ht="15" hidden="false" customHeight="false" outlineLevel="0" collapsed="false">
      <c r="A549" s="15" t="s">
        <v>771</v>
      </c>
      <c r="B549" s="15" t="s">
        <v>768</v>
      </c>
      <c r="C549" s="15" t="s">
        <v>772</v>
      </c>
      <c r="D549" s="15" t="n">
        <v>159</v>
      </c>
      <c r="E549" s="15" t="n">
        <v>145</v>
      </c>
      <c r="F549" s="15" t="s">
        <v>54</v>
      </c>
      <c r="G549" s="15" t="n">
        <v>1</v>
      </c>
      <c r="H549" s="5" t="str">
        <f aca="false">SUBSTITUTE(A549,"MS","",1)</f>
        <v>54463</v>
      </c>
      <c r="I549" s="5" t="str">
        <f aca="false">VLOOKUP(F549,O:P,2,FALSE())</f>
        <v>Snowboard (avec fixation)</v>
      </c>
      <c r="J549" s="5" t="str">
        <f aca="false">CONCATENATE(B549," ",C549)</f>
        <v>nitro thrills</v>
      </c>
      <c r="K549" s="5" t="str">
        <f aca="false">IF(D549&lt;80,VLOOKUP(D549,R:S,2,FALSE()),CONCATENATE(D549," cm"))</f>
        <v>159 cm</v>
      </c>
      <c r="L549" s="17" t="n">
        <f aca="false">E549</f>
        <v>145</v>
      </c>
    </row>
    <row r="550" customFormat="false" ht="15" hidden="false" customHeight="false" outlineLevel="0" collapsed="false">
      <c r="A550" s="15" t="s">
        <v>773</v>
      </c>
      <c r="B550" s="15" t="s">
        <v>768</v>
      </c>
      <c r="C550" s="15" t="s">
        <v>772</v>
      </c>
      <c r="D550" s="15" t="n">
        <v>148</v>
      </c>
      <c r="E550" s="15" t="n">
        <v>125</v>
      </c>
      <c r="F550" s="15" t="s">
        <v>54</v>
      </c>
      <c r="G550" s="15" t="n">
        <v>1</v>
      </c>
      <c r="H550" s="5" t="str">
        <f aca="false">SUBSTITUTE(A550,"MS","",1)</f>
        <v>54464</v>
      </c>
      <c r="I550" s="5" t="str">
        <f aca="false">VLOOKUP(F550,O:P,2,FALSE())</f>
        <v>Snowboard (avec fixation)</v>
      </c>
      <c r="J550" s="5" t="str">
        <f aca="false">CONCATENATE(B550," ",C550)</f>
        <v>nitro thrills</v>
      </c>
      <c r="K550" s="5" t="str">
        <f aca="false">IF(D550&lt;80,VLOOKUP(D550,R:S,2,FALSE()),CONCATENATE(D550," cm"))</f>
        <v>148 cm</v>
      </c>
      <c r="L550" s="17" t="n">
        <f aca="false">E550</f>
        <v>125</v>
      </c>
    </row>
    <row r="551" customFormat="false" ht="15" hidden="false" customHeight="false" outlineLevel="0" collapsed="false">
      <c r="A551" s="15" t="s">
        <v>774</v>
      </c>
      <c r="B551" s="15" t="s">
        <v>768</v>
      </c>
      <c r="C551" s="15" t="s">
        <v>775</v>
      </c>
      <c r="D551" s="15" t="n">
        <v>149</v>
      </c>
      <c r="E551" s="15" t="n">
        <v>125</v>
      </c>
      <c r="F551" s="15" t="s">
        <v>54</v>
      </c>
      <c r="G551" s="15" t="n">
        <v>1</v>
      </c>
      <c r="H551" s="5" t="str">
        <f aca="false">SUBSTITUTE(A551,"MS","",1)</f>
        <v>54466</v>
      </c>
      <c r="I551" s="5" t="str">
        <f aca="false">VLOOKUP(F551,O:P,2,FALSE())</f>
        <v>Snowboard (avec fixation)</v>
      </c>
      <c r="J551" s="5" t="str">
        <f aca="false">CONCATENATE(B551," ",C551)</f>
        <v>nitro prime</v>
      </c>
      <c r="K551" s="5" t="str">
        <f aca="false">IF(D551&lt;80,VLOOKUP(D551,R:S,2,FALSE()),CONCATENATE(D551," cm"))</f>
        <v>149 cm</v>
      </c>
      <c r="L551" s="17" t="n">
        <f aca="false">E551</f>
        <v>125</v>
      </c>
    </row>
    <row r="552" customFormat="false" ht="15" hidden="false" customHeight="false" outlineLevel="0" collapsed="false">
      <c r="A552" s="15" t="s">
        <v>776</v>
      </c>
      <c r="B552" s="15" t="s">
        <v>768</v>
      </c>
      <c r="C552" s="15" t="s">
        <v>777</v>
      </c>
      <c r="D552" s="15" t="n">
        <v>146</v>
      </c>
      <c r="E552" s="15" t="n">
        <v>139</v>
      </c>
      <c r="F552" s="15" t="s">
        <v>54</v>
      </c>
      <c r="G552" s="15" t="n">
        <v>1</v>
      </c>
      <c r="H552" s="5" t="str">
        <f aca="false">SUBSTITUTE(A552,"MS","",1)</f>
        <v>54467</v>
      </c>
      <c r="I552" s="5" t="str">
        <f aca="false">VLOOKUP(F552,O:P,2,FALSE())</f>
        <v>Snowboard (avec fixation)</v>
      </c>
      <c r="J552" s="5" t="str">
        <f aca="false">CONCATENATE(B552," ",C552)</f>
        <v>nitro lectra</v>
      </c>
      <c r="K552" s="5" t="str">
        <f aca="false">IF(D552&lt;80,VLOOKUP(D552,R:S,2,FALSE()),CONCATENATE(D552," cm"))</f>
        <v>146 cm</v>
      </c>
      <c r="L552" s="17" t="n">
        <f aca="false">E552</f>
        <v>139</v>
      </c>
    </row>
    <row r="553" customFormat="false" ht="15" hidden="false" customHeight="false" outlineLevel="0" collapsed="false">
      <c r="A553" s="15" t="s">
        <v>778</v>
      </c>
      <c r="B553" s="15" t="s">
        <v>768</v>
      </c>
      <c r="C553" s="15" t="s">
        <v>777</v>
      </c>
      <c r="D553" s="15" t="n">
        <v>142</v>
      </c>
      <c r="E553" s="15" t="n">
        <v>139</v>
      </c>
      <c r="F553" s="15" t="s">
        <v>54</v>
      </c>
      <c r="G553" s="15" t="n">
        <v>1</v>
      </c>
      <c r="H553" s="5" t="str">
        <f aca="false">SUBSTITUTE(A553,"MS","",1)</f>
        <v>54468</v>
      </c>
      <c r="I553" s="5" t="str">
        <f aca="false">VLOOKUP(F553,O:P,2,FALSE())</f>
        <v>Snowboard (avec fixation)</v>
      </c>
      <c r="J553" s="5" t="str">
        <f aca="false">CONCATENATE(B553," ",C553)</f>
        <v>nitro lectra</v>
      </c>
      <c r="K553" s="5" t="str">
        <f aca="false">IF(D553&lt;80,VLOOKUP(D553,R:S,2,FALSE()),CONCATENATE(D553," cm"))</f>
        <v>142 cm</v>
      </c>
      <c r="L553" s="17" t="n">
        <f aca="false">E553</f>
        <v>139</v>
      </c>
    </row>
    <row r="554" customFormat="false" ht="15" hidden="false" customHeight="false" outlineLevel="0" collapsed="false">
      <c r="A554" s="15" t="s">
        <v>779</v>
      </c>
      <c r="B554" s="15" t="s">
        <v>368</v>
      </c>
      <c r="C554" s="15" t="s">
        <v>162</v>
      </c>
      <c r="D554" s="15" t="n">
        <v>140</v>
      </c>
      <c r="E554" s="15" t="n">
        <v>75</v>
      </c>
      <c r="F554" s="15" t="s">
        <v>54</v>
      </c>
      <c r="G554" s="15" t="n">
        <v>1</v>
      </c>
      <c r="H554" s="5" t="str">
        <f aca="false">SUBSTITUTE(A554,"MS","",1)</f>
        <v>54471</v>
      </c>
      <c r="I554" s="5" t="str">
        <f aca="false">VLOOKUP(F554,O:P,2,FALSE())</f>
        <v>Snowboard (avec fixation)</v>
      </c>
      <c r="J554" s="5" t="str">
        <f aca="false">CONCATENATE(B554," ",C554)</f>
        <v>rossignol exp</v>
      </c>
      <c r="K554" s="5" t="str">
        <f aca="false">IF(D554&lt;80,VLOOKUP(D554,R:S,2,FALSE()),CONCATENATE(D554," cm"))</f>
        <v>140 cm</v>
      </c>
      <c r="L554" s="17" t="n">
        <f aca="false">E554</f>
        <v>75</v>
      </c>
    </row>
    <row r="555" customFormat="false" ht="15" hidden="false" customHeight="false" outlineLevel="0" collapsed="false">
      <c r="A555" s="15" t="s">
        <v>780</v>
      </c>
      <c r="B555" s="15" t="s">
        <v>368</v>
      </c>
      <c r="C555" s="15" t="s">
        <v>781</v>
      </c>
      <c r="D555" s="15" t="n">
        <v>148</v>
      </c>
      <c r="E555" s="15" t="n">
        <v>85</v>
      </c>
      <c r="F555" s="15" t="s">
        <v>54</v>
      </c>
      <c r="G555" s="15" t="n">
        <v>1</v>
      </c>
      <c r="H555" s="5" t="str">
        <f aca="false">SUBSTITUTE(A555,"MS","",1)</f>
        <v>54473</v>
      </c>
      <c r="I555" s="5" t="str">
        <f aca="false">VLOOKUP(F555,O:P,2,FALSE())</f>
        <v>Snowboard (avec fixation)</v>
      </c>
      <c r="J555" s="5" t="str">
        <f aca="false">CONCATENATE(B555," ",C555)</f>
        <v>rossignol tesla</v>
      </c>
      <c r="K555" s="5" t="str">
        <f aca="false">IF(D555&lt;80,VLOOKUP(D555,R:S,2,FALSE()),CONCATENATE(D555," cm"))</f>
        <v>148 cm</v>
      </c>
      <c r="L555" s="17" t="n">
        <f aca="false">E555</f>
        <v>85</v>
      </c>
    </row>
    <row r="556" customFormat="false" ht="15" hidden="false" customHeight="false" outlineLevel="0" collapsed="false">
      <c r="A556" s="15" t="s">
        <v>782</v>
      </c>
      <c r="B556" s="15" t="s">
        <v>368</v>
      </c>
      <c r="C556" s="15" t="s">
        <v>783</v>
      </c>
      <c r="D556" s="15" t="n">
        <v>155</v>
      </c>
      <c r="E556" s="15" t="n">
        <v>95</v>
      </c>
      <c r="F556" s="15" t="s">
        <v>54</v>
      </c>
      <c r="G556" s="15" t="n">
        <v>1</v>
      </c>
      <c r="H556" s="5" t="str">
        <f aca="false">SUBSTITUTE(A556,"MS","",1)</f>
        <v>54475</v>
      </c>
      <c r="I556" s="5" t="str">
        <f aca="false">VLOOKUP(F556,O:P,2,FALSE())</f>
        <v>Snowboard (avec fixation)</v>
      </c>
      <c r="J556" s="5" t="str">
        <f aca="false">CONCATENATE(B556," ",C556)</f>
        <v>rossignol angus</v>
      </c>
      <c r="K556" s="5" t="str">
        <f aca="false">IF(D556&lt;80,VLOOKUP(D556,R:S,2,FALSE()),CONCATENATE(D556," cm"))</f>
        <v>155 cm</v>
      </c>
      <c r="L556" s="17" t="n">
        <f aca="false">E556</f>
        <v>95</v>
      </c>
    </row>
    <row r="557" customFormat="false" ht="15" hidden="false" customHeight="false" outlineLevel="0" collapsed="false">
      <c r="A557" s="15" t="s">
        <v>784</v>
      </c>
      <c r="B557" s="15" t="s">
        <v>785</v>
      </c>
      <c r="C557" s="15" t="s">
        <v>786</v>
      </c>
      <c r="D557" s="15" t="n">
        <v>157</v>
      </c>
      <c r="E557" s="15" t="n">
        <v>245</v>
      </c>
      <c r="F557" s="15" t="s">
        <v>42</v>
      </c>
      <c r="G557" s="15" t="n">
        <v>1</v>
      </c>
      <c r="H557" s="5" t="str">
        <f aca="false">SUBSTITUTE(A557,"MS","",1)</f>
        <v>54485</v>
      </c>
      <c r="I557" s="5" t="str">
        <f aca="false">VLOOKUP(F557,O:P,2,FALSE())</f>
        <v>Skis Alpin </v>
      </c>
      <c r="J557" s="5" t="str">
        <f aca="false">CONCATENATE(B557," ",C557)</f>
        <v>BlackCrows camoxJr</v>
      </c>
      <c r="K557" s="5" t="str">
        <f aca="false">IF(D557&lt;80,VLOOKUP(D557,R:S,2,FALSE()),CONCATENATE(D557," cm"))</f>
        <v>157 cm</v>
      </c>
      <c r="L557" s="17" t="n">
        <f aca="false">E557</f>
        <v>245</v>
      </c>
    </row>
    <row r="558" customFormat="false" ht="15" hidden="false" customHeight="false" outlineLevel="0" collapsed="false">
      <c r="A558" s="15" t="s">
        <v>787</v>
      </c>
      <c r="B558" s="15" t="s">
        <v>785</v>
      </c>
      <c r="C558" s="15" t="s">
        <v>788</v>
      </c>
      <c r="D558" s="15" t="n">
        <v>152</v>
      </c>
      <c r="E558" s="15" t="n">
        <v>445</v>
      </c>
      <c r="F558" s="15" t="s">
        <v>30</v>
      </c>
      <c r="G558" s="15" t="n">
        <v>1</v>
      </c>
      <c r="H558" s="5" t="str">
        <f aca="false">SUBSTITUTE(A558,"MS","",1)</f>
        <v>54486</v>
      </c>
      <c r="I558" s="5" t="str">
        <f aca="false">VLOOKUP(F558,O:P,2,FALSE())</f>
        <v>Skis Alpin </v>
      </c>
      <c r="J558" s="5" t="str">
        <f aca="false">CONCATENATE(B558," ",C558)</f>
        <v>BlackCrows vertisB</v>
      </c>
      <c r="K558" s="5" t="str">
        <f aca="false">IF(D558&lt;80,VLOOKUP(D558,R:S,2,FALSE()),CONCATENATE(D558," cm"))</f>
        <v>152 cm</v>
      </c>
      <c r="L558" s="17" t="n">
        <f aca="false">E558</f>
        <v>445</v>
      </c>
    </row>
    <row r="559" customFormat="false" ht="15" hidden="false" customHeight="false" outlineLevel="0" collapsed="false">
      <c r="A559" s="15" t="s">
        <v>789</v>
      </c>
      <c r="B559" s="15" t="s">
        <v>785</v>
      </c>
      <c r="C559" s="15" t="s">
        <v>790</v>
      </c>
      <c r="D559" s="15" t="n">
        <v>174</v>
      </c>
      <c r="E559" s="15" t="n">
        <v>590</v>
      </c>
      <c r="F559" s="15" t="s">
        <v>30</v>
      </c>
      <c r="G559" s="15" t="n">
        <v>1</v>
      </c>
      <c r="H559" s="5" t="str">
        <f aca="false">SUBSTITUTE(A559,"MS","",1)</f>
        <v>54489</v>
      </c>
      <c r="I559" s="5" t="str">
        <f aca="false">VLOOKUP(F559,O:P,2,FALSE())</f>
        <v>Skis Alpin </v>
      </c>
      <c r="J559" s="5" t="str">
        <f aca="false">CONCATENATE(B559," ",C559)</f>
        <v>BlackCrows serpo</v>
      </c>
      <c r="K559" s="5" t="str">
        <f aca="false">IF(D559&lt;80,VLOOKUP(D559,R:S,2,FALSE()),CONCATENATE(D559," cm"))</f>
        <v>174 cm</v>
      </c>
      <c r="L559" s="17" t="n">
        <f aca="false">E559</f>
        <v>590</v>
      </c>
    </row>
    <row r="560" customFormat="false" ht="15" hidden="false" customHeight="false" outlineLevel="0" collapsed="false">
      <c r="A560" s="15" t="s">
        <v>791</v>
      </c>
      <c r="B560" s="15" t="s">
        <v>785</v>
      </c>
      <c r="C560" s="15" t="s">
        <v>790</v>
      </c>
      <c r="D560" s="15" t="n">
        <v>174</v>
      </c>
      <c r="E560" s="15" t="n">
        <v>590</v>
      </c>
      <c r="F560" s="15" t="s">
        <v>30</v>
      </c>
      <c r="G560" s="15" t="n">
        <v>1</v>
      </c>
      <c r="H560" s="5" t="str">
        <f aca="false">SUBSTITUTE(A560,"MS","",1)</f>
        <v>54490</v>
      </c>
      <c r="I560" s="5" t="str">
        <f aca="false">VLOOKUP(F560,O:P,2,FALSE())</f>
        <v>Skis Alpin </v>
      </c>
      <c r="J560" s="5" t="str">
        <f aca="false">CONCATENATE(B560," ",C560)</f>
        <v>BlackCrows serpo</v>
      </c>
      <c r="K560" s="5" t="str">
        <f aca="false">IF(D560&lt;80,VLOOKUP(D560,R:S,2,FALSE()),CONCATENATE(D560," cm"))</f>
        <v>174 cm</v>
      </c>
      <c r="L560" s="17" t="n">
        <f aca="false">E560</f>
        <v>590</v>
      </c>
    </row>
    <row r="561" customFormat="false" ht="15" hidden="false" customHeight="false" outlineLevel="0" collapsed="false">
      <c r="A561" s="15" t="s">
        <v>792</v>
      </c>
      <c r="B561" s="15" t="s">
        <v>785</v>
      </c>
      <c r="C561" s="15" t="s">
        <v>793</v>
      </c>
      <c r="D561" s="15" t="n">
        <v>170</v>
      </c>
      <c r="E561" s="15" t="n">
        <v>445</v>
      </c>
      <c r="F561" s="15" t="s">
        <v>30</v>
      </c>
      <c r="G561" s="15" t="n">
        <v>1</v>
      </c>
      <c r="H561" s="5" t="str">
        <f aca="false">SUBSTITUTE(A561,"MS","",1)</f>
        <v>54492</v>
      </c>
      <c r="I561" s="5" t="str">
        <f aca="false">VLOOKUP(F561,O:P,2,FALSE())</f>
        <v>Skis Alpin </v>
      </c>
      <c r="J561" s="5" t="str">
        <f aca="false">CONCATENATE(B561," ",C561)</f>
        <v>BlackCrows vertis</v>
      </c>
      <c r="K561" s="5" t="str">
        <f aca="false">IF(D561&lt;80,VLOOKUP(D561,R:S,2,FALSE()),CONCATENATE(D561," cm"))</f>
        <v>170 cm</v>
      </c>
      <c r="L561" s="17" t="n">
        <f aca="false">E561</f>
        <v>445</v>
      </c>
    </row>
    <row r="562" customFormat="false" ht="15" hidden="false" customHeight="false" outlineLevel="0" collapsed="false">
      <c r="A562" s="15" t="s">
        <v>794</v>
      </c>
      <c r="B562" s="15" t="s">
        <v>785</v>
      </c>
      <c r="C562" s="15" t="s">
        <v>795</v>
      </c>
      <c r="D562" s="15" t="n">
        <v>184</v>
      </c>
      <c r="E562" s="15" t="n">
        <v>449</v>
      </c>
      <c r="F562" s="15" t="s">
        <v>30</v>
      </c>
      <c r="G562" s="15" t="n">
        <v>1</v>
      </c>
      <c r="H562" s="5" t="str">
        <f aca="false">SUBSTITUTE(A562,"MS","",1)</f>
        <v>54493</v>
      </c>
      <c r="I562" s="5" t="str">
        <f aca="false">VLOOKUP(F562,O:P,2,FALSE())</f>
        <v>Skis Alpin </v>
      </c>
      <c r="J562" s="5" t="str">
        <f aca="false">CONCATENATE(B562," ",C562)</f>
        <v>BlackCrows atris</v>
      </c>
      <c r="K562" s="5" t="str">
        <f aca="false">IF(D562&lt;80,VLOOKUP(D562,R:S,2,FALSE()),CONCATENATE(D562," cm"))</f>
        <v>184 cm</v>
      </c>
      <c r="L562" s="17" t="n">
        <f aca="false">E562</f>
        <v>449</v>
      </c>
    </row>
    <row r="563" customFormat="false" ht="15" hidden="false" customHeight="false" outlineLevel="0" collapsed="false">
      <c r="A563" s="15" t="s">
        <v>796</v>
      </c>
      <c r="B563" s="15" t="s">
        <v>797</v>
      </c>
      <c r="C563" s="15" t="s">
        <v>798</v>
      </c>
      <c r="D563" s="15" t="n">
        <v>162</v>
      </c>
      <c r="E563" s="15" t="n">
        <v>550</v>
      </c>
      <c r="F563" s="15" t="s">
        <v>58</v>
      </c>
      <c r="G563" s="15" t="n">
        <v>1</v>
      </c>
      <c r="H563" s="5" t="str">
        <f aca="false">SUBSTITUTE(A563,"MS","",1)</f>
        <v>54533</v>
      </c>
      <c r="I563" s="5" t="str">
        <f aca="false">VLOOKUP(F563,O:P,2,FALSE())</f>
        <v>Skis rando</v>
      </c>
      <c r="J563" s="5" t="str">
        <f aca="false">CONCATENATE(B563," ",C563)</f>
        <v>Altai fiz</v>
      </c>
      <c r="K563" s="5" t="str">
        <f aca="false">IF(D563&lt;80,VLOOKUP(D563,R:S,2,FALSE()),CONCATENATE(D563," cm"))</f>
        <v>162 cm</v>
      </c>
      <c r="L563" s="17" t="n">
        <f aca="false">E563</f>
        <v>550</v>
      </c>
    </row>
    <row r="564" customFormat="false" ht="15" hidden="false" customHeight="false" outlineLevel="0" collapsed="false">
      <c r="A564" s="15" t="s">
        <v>799</v>
      </c>
      <c r="B564" s="15" t="s">
        <v>785</v>
      </c>
      <c r="C564" s="15" t="s">
        <v>795</v>
      </c>
      <c r="D564" s="15" t="n">
        <v>190</v>
      </c>
      <c r="E564" s="15" t="n">
        <v>450</v>
      </c>
      <c r="F564" s="15" t="s">
        <v>30</v>
      </c>
      <c r="G564" s="15" t="n">
        <v>1</v>
      </c>
      <c r="H564" s="5" t="str">
        <f aca="false">SUBSTITUTE(A564,"MS","",1)</f>
        <v>54540</v>
      </c>
      <c r="I564" s="5" t="str">
        <f aca="false">VLOOKUP(F564,O:P,2,FALSE())</f>
        <v>Skis Alpin </v>
      </c>
      <c r="J564" s="5" t="str">
        <f aca="false">CONCATENATE(B564," ",C564)</f>
        <v>BlackCrows atris</v>
      </c>
      <c r="K564" s="5" t="str">
        <f aca="false">IF(D564&lt;80,VLOOKUP(D564,R:S,2,FALSE()),CONCATENATE(D564," cm"))</f>
        <v>190 cm</v>
      </c>
      <c r="L564" s="17" t="n">
        <f aca="false">E564</f>
        <v>450</v>
      </c>
    </row>
    <row r="565" customFormat="false" ht="15" hidden="false" customHeight="false" outlineLevel="0" collapsed="false">
      <c r="A565" s="15" t="s">
        <v>800</v>
      </c>
      <c r="B565" s="15" t="s">
        <v>785</v>
      </c>
      <c r="C565" s="15" t="s">
        <v>795</v>
      </c>
      <c r="D565" s="15" t="n">
        <v>184</v>
      </c>
      <c r="E565" s="15" t="n">
        <v>540</v>
      </c>
      <c r="F565" s="15" t="s">
        <v>30</v>
      </c>
      <c r="G565" s="15" t="n">
        <v>1</v>
      </c>
      <c r="H565" s="5" t="str">
        <f aca="false">SUBSTITUTE(A565,"MS","",1)</f>
        <v>54541</v>
      </c>
      <c r="I565" s="5" t="str">
        <f aca="false">VLOOKUP(F565,O:P,2,FALSE())</f>
        <v>Skis Alpin </v>
      </c>
      <c r="J565" s="5" t="str">
        <f aca="false">CONCATENATE(B565," ",C565)</f>
        <v>BlackCrows atris</v>
      </c>
      <c r="K565" s="5" t="str">
        <f aca="false">IF(D565&lt;80,VLOOKUP(D565,R:S,2,FALSE()),CONCATENATE(D565," cm"))</f>
        <v>184 cm</v>
      </c>
      <c r="L565" s="17" t="n">
        <f aca="false">E565</f>
        <v>540</v>
      </c>
    </row>
    <row r="566" customFormat="false" ht="15" hidden="false" customHeight="false" outlineLevel="0" collapsed="false">
      <c r="A566" s="15" t="s">
        <v>801</v>
      </c>
      <c r="B566" s="15" t="s">
        <v>785</v>
      </c>
      <c r="C566" s="15" t="s">
        <v>795</v>
      </c>
      <c r="D566" s="15" t="n">
        <v>178</v>
      </c>
      <c r="E566" s="15" t="n">
        <v>590</v>
      </c>
      <c r="F566" s="15" t="s">
        <v>30</v>
      </c>
      <c r="G566" s="15" t="n">
        <v>1</v>
      </c>
      <c r="H566" s="5" t="str">
        <f aca="false">SUBSTITUTE(A566,"MS","",1)</f>
        <v>54543</v>
      </c>
      <c r="I566" s="5" t="str">
        <f aca="false">VLOOKUP(F566,O:P,2,FALSE())</f>
        <v>Skis Alpin </v>
      </c>
      <c r="J566" s="5" t="str">
        <f aca="false">CONCATENATE(B566," ",C566)</f>
        <v>BlackCrows atris</v>
      </c>
      <c r="K566" s="5" t="str">
        <f aca="false">IF(D566&lt;80,VLOOKUP(D566,R:S,2,FALSE()),CONCATENATE(D566," cm"))</f>
        <v>178 cm</v>
      </c>
      <c r="L566" s="17" t="n">
        <f aca="false">E566</f>
        <v>590</v>
      </c>
    </row>
    <row r="567" customFormat="false" ht="15" hidden="false" customHeight="false" outlineLevel="0" collapsed="false">
      <c r="A567" s="15" t="s">
        <v>802</v>
      </c>
      <c r="B567" s="15" t="s">
        <v>368</v>
      </c>
      <c r="C567" s="15" t="s">
        <v>210</v>
      </c>
      <c r="D567" s="15" t="n">
        <v>142</v>
      </c>
      <c r="E567" s="15" t="n">
        <v>110</v>
      </c>
      <c r="F567" s="15" t="s">
        <v>30</v>
      </c>
      <c r="G567" s="15" t="n">
        <v>1</v>
      </c>
      <c r="H567" s="5" t="str">
        <f aca="false">SUBSTITUTE(A567,"MS","",1)</f>
        <v>54549</v>
      </c>
      <c r="I567" s="5" t="str">
        <f aca="false">VLOOKUP(F567,O:P,2,FALSE())</f>
        <v>Skis Alpin </v>
      </c>
      <c r="J567" s="5" t="str">
        <f aca="false">CONCATENATE(B567," ",C567)</f>
        <v>rossignol famous</v>
      </c>
      <c r="K567" s="5" t="str">
        <f aca="false">IF(D567&lt;80,VLOOKUP(D567,R:S,2,FALSE()),CONCATENATE(D567," cm"))</f>
        <v>142 cm</v>
      </c>
      <c r="L567" s="17" t="n">
        <f aca="false">E567</f>
        <v>110</v>
      </c>
    </row>
    <row r="568" customFormat="false" ht="15" hidden="false" customHeight="false" outlineLevel="0" collapsed="false">
      <c r="A568" s="15" t="s">
        <v>803</v>
      </c>
      <c r="B568" s="15" t="s">
        <v>368</v>
      </c>
      <c r="C568" s="15" t="s">
        <v>804</v>
      </c>
      <c r="D568" s="15" t="n">
        <v>144</v>
      </c>
      <c r="E568" s="15" t="n">
        <v>110</v>
      </c>
      <c r="F568" s="15" t="s">
        <v>30</v>
      </c>
      <c r="G568" s="15" t="n">
        <v>1</v>
      </c>
      <c r="H568" s="5" t="str">
        <f aca="false">SUBSTITUTE(A568,"MS","",1)</f>
        <v>54616</v>
      </c>
      <c r="I568" s="5" t="str">
        <f aca="false">VLOOKUP(F568,O:P,2,FALSE())</f>
        <v>Skis Alpin </v>
      </c>
      <c r="J568" s="5" t="str">
        <f aca="false">CONCATENATE(B568," ",C568)</f>
        <v>rossignol nova</v>
      </c>
      <c r="K568" s="5" t="str">
        <f aca="false">IF(D568&lt;80,VLOOKUP(D568,R:S,2,FALSE()),CONCATENATE(D568," cm"))</f>
        <v>144 cm</v>
      </c>
      <c r="L568" s="17" t="n">
        <f aca="false">E568</f>
        <v>110</v>
      </c>
    </row>
    <row r="569" customFormat="false" ht="15" hidden="false" customHeight="false" outlineLevel="0" collapsed="false">
      <c r="A569" s="15" t="s">
        <v>805</v>
      </c>
      <c r="B569" s="15" t="s">
        <v>368</v>
      </c>
      <c r="D569" s="15" t="n">
        <v>43</v>
      </c>
      <c r="E569" s="15" t="n">
        <v>35</v>
      </c>
      <c r="F569" s="15" t="s">
        <v>63</v>
      </c>
      <c r="G569" s="15" t="n">
        <v>1</v>
      </c>
      <c r="H569" s="5" t="str">
        <f aca="false">SUBSTITUTE(A569,"MS","",1)</f>
        <v>54638</v>
      </c>
      <c r="I569" s="5" t="str">
        <f aca="false">VLOOKUP(F569,O:P,2,FALSE())</f>
        <v>Chaussures Snowboard</v>
      </c>
      <c r="J569" s="5" t="str">
        <f aca="false">CONCATENATE(B569," ",C569)</f>
        <v>rossignol </v>
      </c>
      <c r="K569" s="5" t="str">
        <f aca="false">IF(D569&lt;80,VLOOKUP(D569,R:S,2,FALSE()),CONCATENATE(D569," cm"))</f>
        <v>43 (EU) / 27 (MP)</v>
      </c>
      <c r="L569" s="17" t="n">
        <f aca="false">E569</f>
        <v>35</v>
      </c>
    </row>
    <row r="570" customFormat="false" ht="15" hidden="false" customHeight="false" outlineLevel="0" collapsed="false">
      <c r="A570" s="15" t="s">
        <v>806</v>
      </c>
      <c r="B570" s="15" t="s">
        <v>807</v>
      </c>
      <c r="D570" s="15" t="n">
        <v>37</v>
      </c>
      <c r="E570" s="15" t="n">
        <v>35</v>
      </c>
      <c r="F570" s="15" t="s">
        <v>63</v>
      </c>
      <c r="G570" s="15" t="n">
        <v>1</v>
      </c>
      <c r="H570" s="5" t="str">
        <f aca="false">SUBSTITUTE(A570,"MS","",1)</f>
        <v>54641</v>
      </c>
      <c r="I570" s="5" t="str">
        <f aca="false">VLOOKUP(F570,O:P,2,FALSE())</f>
        <v>Chaussures Snowboard</v>
      </c>
      <c r="J570" s="5" t="str">
        <f aca="false">CONCATENATE(B570," ",C570)</f>
        <v>Nitro </v>
      </c>
      <c r="K570" s="5" t="str">
        <f aca="false">IF(D570&lt;80,VLOOKUP(D570,R:S,2,FALSE()),CONCATENATE(D570," cm"))</f>
        <v>37 (EU) / 23 (MP)</v>
      </c>
      <c r="L570" s="17" t="n">
        <f aca="false">E570</f>
        <v>35</v>
      </c>
    </row>
    <row r="571" customFormat="false" ht="15" hidden="false" customHeight="false" outlineLevel="0" collapsed="false">
      <c r="A571" s="15" t="s">
        <v>808</v>
      </c>
      <c r="B571" s="15" t="s">
        <v>807</v>
      </c>
      <c r="D571" s="15" t="n">
        <v>41</v>
      </c>
      <c r="E571" s="15" t="n">
        <v>35</v>
      </c>
      <c r="F571" s="15" t="s">
        <v>63</v>
      </c>
      <c r="G571" s="15" t="n">
        <v>1</v>
      </c>
      <c r="H571" s="5" t="str">
        <f aca="false">SUBSTITUTE(A571,"MS","",1)</f>
        <v>54642</v>
      </c>
      <c r="I571" s="5" t="str">
        <f aca="false">VLOOKUP(F571,O:P,2,FALSE())</f>
        <v>Chaussures Snowboard</v>
      </c>
      <c r="J571" s="5" t="str">
        <f aca="false">CONCATENATE(B571," ",C571)</f>
        <v>Nitro </v>
      </c>
      <c r="K571" s="5" t="str">
        <f aca="false">IF(D571&lt;80,VLOOKUP(D571,R:S,2,FALSE()),CONCATENATE(D571," cm"))</f>
        <v>41 (EU) / 26 (MP)</v>
      </c>
      <c r="L571" s="17" t="n">
        <f aca="false">E571</f>
        <v>35</v>
      </c>
    </row>
    <row r="572" customFormat="false" ht="15" hidden="false" customHeight="false" outlineLevel="0" collapsed="false">
      <c r="A572" s="15" t="s">
        <v>809</v>
      </c>
      <c r="B572" s="15" t="s">
        <v>368</v>
      </c>
      <c r="D572" s="15" t="n">
        <v>38</v>
      </c>
      <c r="E572" s="15" t="n">
        <v>35</v>
      </c>
      <c r="F572" s="15" t="s">
        <v>63</v>
      </c>
      <c r="G572" s="15" t="n">
        <v>1</v>
      </c>
      <c r="H572" s="5" t="str">
        <f aca="false">SUBSTITUTE(A572,"MS","",1)</f>
        <v>54643</v>
      </c>
      <c r="I572" s="5" t="str">
        <f aca="false">VLOOKUP(F572,O:P,2,FALSE())</f>
        <v>Chaussures Snowboard</v>
      </c>
      <c r="J572" s="5" t="str">
        <f aca="false">CONCATENATE(B572," ",C572)</f>
        <v>rossignol </v>
      </c>
      <c r="K572" s="5" t="str">
        <f aca="false">IF(D572&lt;80,VLOOKUP(D572,R:S,2,FALSE()),CONCATENATE(D572," cm"))</f>
        <v>38 (EU) / 24 (MP)</v>
      </c>
      <c r="L572" s="17" t="n">
        <f aca="false">E572</f>
        <v>35</v>
      </c>
    </row>
    <row r="573" customFormat="false" ht="15" hidden="false" customHeight="false" outlineLevel="0" collapsed="false">
      <c r="A573" s="15" t="s">
        <v>810</v>
      </c>
      <c r="B573" s="15" t="s">
        <v>785</v>
      </c>
      <c r="C573" s="15" t="s">
        <v>788</v>
      </c>
      <c r="D573" s="15" t="n">
        <v>159</v>
      </c>
      <c r="E573" s="15" t="n">
        <v>445</v>
      </c>
      <c r="F573" s="15" t="s">
        <v>30</v>
      </c>
      <c r="G573" s="15" t="n">
        <v>1</v>
      </c>
      <c r="H573" s="5" t="str">
        <f aca="false">SUBSTITUTE(A573,"MS","",1)</f>
        <v>54777</v>
      </c>
      <c r="I573" s="5" t="str">
        <f aca="false">VLOOKUP(F573,O:P,2,FALSE())</f>
        <v>Skis Alpin </v>
      </c>
      <c r="J573" s="5" t="str">
        <f aca="false">CONCATENATE(B573," ",C573)</f>
        <v>BlackCrows vertisB</v>
      </c>
      <c r="K573" s="5" t="str">
        <f aca="false">IF(D573&lt;80,VLOOKUP(D573,R:S,2,FALSE()),CONCATENATE(D573," cm"))</f>
        <v>159 cm</v>
      </c>
      <c r="L573" s="17" t="n">
        <f aca="false">E573</f>
        <v>445</v>
      </c>
    </row>
    <row r="574" customFormat="false" ht="15" hidden="false" customHeight="false" outlineLevel="0" collapsed="false">
      <c r="A574" s="15" t="s">
        <v>811</v>
      </c>
      <c r="B574" s="15" t="s">
        <v>785</v>
      </c>
      <c r="C574" s="15" t="s">
        <v>793</v>
      </c>
      <c r="D574" s="15" t="n">
        <v>175</v>
      </c>
      <c r="E574" s="15" t="n">
        <v>445</v>
      </c>
      <c r="F574" s="15" t="s">
        <v>30</v>
      </c>
      <c r="G574" s="15" t="n">
        <v>1</v>
      </c>
      <c r="H574" s="5" t="str">
        <f aca="false">SUBSTITUTE(A574,"MS","",1)</f>
        <v>54779</v>
      </c>
      <c r="I574" s="5" t="str">
        <f aca="false">VLOOKUP(F574,O:P,2,FALSE())</f>
        <v>Skis Alpin </v>
      </c>
      <c r="J574" s="5" t="str">
        <f aca="false">CONCATENATE(B574," ",C574)</f>
        <v>BlackCrows vertis</v>
      </c>
      <c r="K574" s="5" t="str">
        <f aca="false">IF(D574&lt;80,VLOOKUP(D574,R:S,2,FALSE()),CONCATENATE(D574," cm"))</f>
        <v>175 cm</v>
      </c>
      <c r="L574" s="17" t="n">
        <f aca="false">E574</f>
        <v>445</v>
      </c>
    </row>
    <row r="575" customFormat="false" ht="15" hidden="false" customHeight="false" outlineLevel="0" collapsed="false">
      <c r="A575" s="15" t="s">
        <v>812</v>
      </c>
      <c r="B575" s="15" t="s">
        <v>785</v>
      </c>
      <c r="C575" s="15" t="s">
        <v>793</v>
      </c>
      <c r="D575" s="15" t="n">
        <v>175</v>
      </c>
      <c r="E575" s="15" t="n">
        <v>445</v>
      </c>
      <c r="F575" s="15" t="s">
        <v>30</v>
      </c>
      <c r="G575" s="15" t="n">
        <v>1</v>
      </c>
      <c r="H575" s="5" t="str">
        <f aca="false">SUBSTITUTE(A575,"MS","",1)</f>
        <v>54780</v>
      </c>
      <c r="I575" s="5" t="str">
        <f aca="false">VLOOKUP(F575,O:P,2,FALSE())</f>
        <v>Skis Alpin </v>
      </c>
      <c r="J575" s="5" t="str">
        <f aca="false">CONCATENATE(B575," ",C575)</f>
        <v>BlackCrows vertis</v>
      </c>
      <c r="K575" s="5" t="str">
        <f aca="false">IF(D575&lt;80,VLOOKUP(D575,R:S,2,FALSE()),CONCATENATE(D575," cm"))</f>
        <v>175 cm</v>
      </c>
      <c r="L575" s="17" t="n">
        <f aca="false">E575</f>
        <v>445</v>
      </c>
    </row>
    <row r="576" customFormat="false" ht="15" hidden="false" customHeight="false" outlineLevel="0" collapsed="false">
      <c r="A576" s="15" t="s">
        <v>813</v>
      </c>
      <c r="B576" s="15" t="s">
        <v>785</v>
      </c>
      <c r="C576" s="15" t="s">
        <v>788</v>
      </c>
      <c r="D576" s="15" t="n">
        <v>152</v>
      </c>
      <c r="E576" s="15" t="n">
        <v>395</v>
      </c>
      <c r="F576" s="15" t="s">
        <v>30</v>
      </c>
      <c r="G576" s="15" t="n">
        <v>1</v>
      </c>
      <c r="H576" s="5" t="str">
        <f aca="false">SUBSTITUTE(A576,"MS","",1)</f>
        <v>54786</v>
      </c>
      <c r="I576" s="5" t="str">
        <f aca="false">VLOOKUP(F576,O:P,2,FALSE())</f>
        <v>Skis Alpin </v>
      </c>
      <c r="J576" s="5" t="str">
        <f aca="false">CONCATENATE(B576," ",C576)</f>
        <v>BlackCrows vertisB</v>
      </c>
      <c r="K576" s="5" t="str">
        <f aca="false">IF(D576&lt;80,VLOOKUP(D576,R:S,2,FALSE()),CONCATENATE(D576," cm"))</f>
        <v>152 cm</v>
      </c>
      <c r="L576" s="17" t="n">
        <f aca="false">E576</f>
        <v>395</v>
      </c>
    </row>
    <row r="577" customFormat="false" ht="15" hidden="false" customHeight="false" outlineLevel="0" collapsed="false">
      <c r="A577" s="15" t="s">
        <v>814</v>
      </c>
      <c r="B577" s="15" t="s">
        <v>785</v>
      </c>
      <c r="C577" s="15" t="s">
        <v>788</v>
      </c>
      <c r="D577" s="15" t="n">
        <v>159</v>
      </c>
      <c r="E577" s="15" t="n">
        <v>395</v>
      </c>
      <c r="F577" s="15" t="s">
        <v>30</v>
      </c>
      <c r="G577" s="15" t="n">
        <v>1</v>
      </c>
      <c r="H577" s="5" t="str">
        <f aca="false">SUBSTITUTE(A577,"MS","",1)</f>
        <v>54787</v>
      </c>
      <c r="I577" s="5" t="str">
        <f aca="false">VLOOKUP(F577,O:P,2,FALSE())</f>
        <v>Skis Alpin </v>
      </c>
      <c r="J577" s="5" t="str">
        <f aca="false">CONCATENATE(B577," ",C577)</f>
        <v>BlackCrows vertisB</v>
      </c>
      <c r="K577" s="5" t="str">
        <f aca="false">IF(D577&lt;80,VLOOKUP(D577,R:S,2,FALSE()),CONCATENATE(D577," cm"))</f>
        <v>159 cm</v>
      </c>
      <c r="L577" s="17" t="n">
        <f aca="false">E577</f>
        <v>395</v>
      </c>
    </row>
    <row r="578" customFormat="false" ht="15" hidden="false" customHeight="false" outlineLevel="0" collapsed="false">
      <c r="A578" s="15" t="s">
        <v>815</v>
      </c>
      <c r="B578" s="15" t="s">
        <v>785</v>
      </c>
      <c r="C578" s="15" t="s">
        <v>795</v>
      </c>
      <c r="D578" s="15" t="n">
        <v>178</v>
      </c>
      <c r="E578" s="15" t="n">
        <v>450</v>
      </c>
      <c r="F578" s="15" t="s">
        <v>30</v>
      </c>
      <c r="G578" s="15" t="n">
        <v>1</v>
      </c>
      <c r="H578" s="5" t="str">
        <f aca="false">SUBSTITUTE(A578,"MS","",1)</f>
        <v>54789</v>
      </c>
      <c r="I578" s="5" t="str">
        <f aca="false">VLOOKUP(F578,O:P,2,FALSE())</f>
        <v>Skis Alpin </v>
      </c>
      <c r="J578" s="5" t="str">
        <f aca="false">CONCATENATE(B578," ",C578)</f>
        <v>BlackCrows atris</v>
      </c>
      <c r="K578" s="5" t="str">
        <f aca="false">IF(D578&lt;80,VLOOKUP(D578,R:S,2,FALSE()),CONCATENATE(D578," cm"))</f>
        <v>178 cm</v>
      </c>
      <c r="L578" s="17" t="n">
        <f aca="false">E578</f>
        <v>450</v>
      </c>
    </row>
    <row r="579" customFormat="false" ht="15" hidden="false" customHeight="false" outlineLevel="0" collapsed="false">
      <c r="A579" s="15" t="s">
        <v>816</v>
      </c>
      <c r="B579" s="15" t="s">
        <v>785</v>
      </c>
      <c r="C579" s="15" t="s">
        <v>817</v>
      </c>
      <c r="D579" s="15" t="n">
        <v>184</v>
      </c>
      <c r="E579" s="15" t="n">
        <v>425</v>
      </c>
      <c r="F579" s="15" t="s">
        <v>30</v>
      </c>
      <c r="G579" s="15" t="n">
        <v>1</v>
      </c>
      <c r="H579" s="5" t="str">
        <f aca="false">SUBSTITUTE(A579,"MS","",1)</f>
        <v>54791</v>
      </c>
      <c r="I579" s="5" t="str">
        <f aca="false">VLOOKUP(F579,O:P,2,FALSE())</f>
        <v>Skis Alpin </v>
      </c>
      <c r="J579" s="5" t="str">
        <f aca="false">CONCATENATE(B579," ",C579)</f>
        <v>BlackCrows captis</v>
      </c>
      <c r="K579" s="5" t="str">
        <f aca="false">IF(D579&lt;80,VLOOKUP(D579,R:S,2,FALSE()),CONCATENATE(D579," cm"))</f>
        <v>184 cm</v>
      </c>
      <c r="L579" s="17" t="n">
        <f aca="false">E579</f>
        <v>425</v>
      </c>
    </row>
    <row r="580" customFormat="false" ht="15" hidden="false" customHeight="false" outlineLevel="0" collapsed="false">
      <c r="A580" s="15" t="s">
        <v>818</v>
      </c>
      <c r="B580" s="15" t="s">
        <v>785</v>
      </c>
      <c r="C580" s="15" t="s">
        <v>793</v>
      </c>
      <c r="D580" s="15" t="n">
        <v>180</v>
      </c>
      <c r="E580" s="15" t="n">
        <v>445</v>
      </c>
      <c r="F580" s="15" t="s">
        <v>30</v>
      </c>
      <c r="G580" s="15" t="n">
        <v>1</v>
      </c>
      <c r="H580" s="5" t="str">
        <f aca="false">SUBSTITUTE(A580,"MS","",1)</f>
        <v>54792</v>
      </c>
      <c r="I580" s="5" t="str">
        <f aca="false">VLOOKUP(F580,O:P,2,FALSE())</f>
        <v>Skis Alpin </v>
      </c>
      <c r="J580" s="5" t="str">
        <f aca="false">CONCATENATE(B580," ",C580)</f>
        <v>BlackCrows vertis</v>
      </c>
      <c r="K580" s="5" t="str">
        <f aca="false">IF(D580&lt;80,VLOOKUP(D580,R:S,2,FALSE()),CONCATENATE(D580," cm"))</f>
        <v>180 cm</v>
      </c>
      <c r="L580" s="17" t="n">
        <f aca="false">E580</f>
        <v>445</v>
      </c>
    </row>
    <row r="581" customFormat="false" ht="15" hidden="false" customHeight="false" outlineLevel="0" collapsed="false">
      <c r="A581" s="15" t="s">
        <v>819</v>
      </c>
      <c r="B581" s="15" t="s">
        <v>105</v>
      </c>
      <c r="C581" s="15" t="s">
        <v>208</v>
      </c>
      <c r="D581" s="15" t="n">
        <v>144</v>
      </c>
      <c r="E581" s="15" t="n">
        <v>115</v>
      </c>
      <c r="F581" s="15" t="s">
        <v>30</v>
      </c>
      <c r="G581" s="15" t="n">
        <v>1</v>
      </c>
      <c r="H581" s="5" t="str">
        <f aca="false">SUBSTITUTE(A581,"MS","",1)</f>
        <v>54972</v>
      </c>
      <c r="I581" s="5" t="str">
        <f aca="false">VLOOKUP(F581,O:P,2,FALSE())</f>
        <v>Skis Alpin </v>
      </c>
      <c r="J581" s="5" t="str">
        <f aca="false">CONCATENATE(B581," ",C581)</f>
        <v>dynastar intense</v>
      </c>
      <c r="K581" s="5" t="str">
        <f aca="false">IF(D581&lt;80,VLOOKUP(D581,R:S,2,FALSE()),CONCATENATE(D581," cm"))</f>
        <v>144 cm</v>
      </c>
      <c r="L581" s="17" t="n">
        <f aca="false">E581</f>
        <v>115</v>
      </c>
    </row>
    <row r="582" customFormat="false" ht="15" hidden="false" customHeight="false" outlineLevel="0" collapsed="false">
      <c r="A582" s="15" t="s">
        <v>820</v>
      </c>
      <c r="B582" s="15" t="s">
        <v>785</v>
      </c>
      <c r="C582" s="15" t="s">
        <v>821</v>
      </c>
      <c r="D582" s="15" t="n">
        <v>177</v>
      </c>
      <c r="E582" s="15" t="n">
        <v>445</v>
      </c>
      <c r="F582" s="15" t="s">
        <v>30</v>
      </c>
      <c r="G582" s="15" t="n">
        <v>1</v>
      </c>
      <c r="H582" s="5" t="str">
        <f aca="false">SUBSTITUTE(A582,"MS","",1)</f>
        <v>54979</v>
      </c>
      <c r="I582" s="5" t="str">
        <f aca="false">VLOOKUP(F582,O:P,2,FALSE())</f>
        <v>Skis Alpin </v>
      </c>
      <c r="J582" s="5" t="str">
        <f aca="false">CONCATENATE(B582," ",C582)</f>
        <v>BlackCrows deamon</v>
      </c>
      <c r="K582" s="5" t="str">
        <f aca="false">IF(D582&lt;80,VLOOKUP(D582,R:S,2,FALSE()),CONCATENATE(D582," cm"))</f>
        <v>177 cm</v>
      </c>
      <c r="L582" s="17" t="n">
        <f aca="false">E582</f>
        <v>445</v>
      </c>
    </row>
    <row r="583" customFormat="false" ht="15" hidden="false" customHeight="false" outlineLevel="0" collapsed="false">
      <c r="A583" s="15" t="s">
        <v>822</v>
      </c>
      <c r="B583" s="15" t="s">
        <v>785</v>
      </c>
      <c r="C583" s="15" t="s">
        <v>793</v>
      </c>
      <c r="D583" s="15" t="n">
        <v>175</v>
      </c>
      <c r="E583" s="15" t="n">
        <v>445</v>
      </c>
      <c r="F583" s="15" t="s">
        <v>30</v>
      </c>
      <c r="G583" s="15" t="n">
        <v>1</v>
      </c>
      <c r="H583" s="5" t="str">
        <f aca="false">SUBSTITUTE(A583,"MS","",1)</f>
        <v>54983</v>
      </c>
      <c r="I583" s="5" t="str">
        <f aca="false">VLOOKUP(F583,O:P,2,FALSE())</f>
        <v>Skis Alpin </v>
      </c>
      <c r="J583" s="5" t="str">
        <f aca="false">CONCATENATE(B583," ",C583)</f>
        <v>BlackCrows vertis</v>
      </c>
      <c r="K583" s="5" t="str">
        <f aca="false">IF(D583&lt;80,VLOOKUP(D583,R:S,2,FALSE()),CONCATENATE(D583," cm"))</f>
        <v>175 cm</v>
      </c>
      <c r="L583" s="17" t="n">
        <f aca="false">E583</f>
        <v>445</v>
      </c>
    </row>
    <row r="584" customFormat="false" ht="15" hidden="false" customHeight="false" outlineLevel="0" collapsed="false">
      <c r="A584" s="15" t="s">
        <v>823</v>
      </c>
      <c r="B584" s="15" t="s">
        <v>785</v>
      </c>
      <c r="C584" s="15" t="s">
        <v>790</v>
      </c>
      <c r="D584" s="15" t="n">
        <v>180</v>
      </c>
      <c r="E584" s="15" t="n">
        <v>590</v>
      </c>
      <c r="F584" s="15" t="s">
        <v>30</v>
      </c>
      <c r="G584" s="15" t="n">
        <v>1</v>
      </c>
      <c r="H584" s="5" t="str">
        <f aca="false">SUBSTITUTE(A584,"MS","",1)</f>
        <v>54988</v>
      </c>
      <c r="I584" s="5" t="str">
        <f aca="false">VLOOKUP(F584,O:P,2,FALSE())</f>
        <v>Skis Alpin </v>
      </c>
      <c r="J584" s="5" t="str">
        <f aca="false">CONCATENATE(B584," ",C584)</f>
        <v>BlackCrows serpo</v>
      </c>
      <c r="K584" s="5" t="str">
        <f aca="false">IF(D584&lt;80,VLOOKUP(D584,R:S,2,FALSE()),CONCATENATE(D584," cm"))</f>
        <v>180 cm</v>
      </c>
      <c r="L584" s="17" t="n">
        <f aca="false">E584</f>
        <v>590</v>
      </c>
    </row>
    <row r="585" customFormat="false" ht="15" hidden="false" customHeight="false" outlineLevel="0" collapsed="false">
      <c r="A585" s="15" t="s">
        <v>824</v>
      </c>
      <c r="B585" s="15" t="s">
        <v>825</v>
      </c>
      <c r="C585" s="15" t="s">
        <v>798</v>
      </c>
      <c r="D585" s="15" t="n">
        <v>178</v>
      </c>
      <c r="E585" s="15" t="n">
        <v>575</v>
      </c>
      <c r="F585" s="15" t="s">
        <v>58</v>
      </c>
      <c r="G585" s="15" t="n">
        <v>1</v>
      </c>
      <c r="H585" s="5" t="str">
        <f aca="false">SUBSTITUTE(A585,"MS","",1)</f>
        <v>55002</v>
      </c>
      <c r="I585" s="5" t="str">
        <f aca="false">VLOOKUP(F585,O:P,2,FALSE())</f>
        <v>Skis rando</v>
      </c>
      <c r="J585" s="5" t="str">
        <f aca="false">CONCATENATE(B585," ",C585)</f>
        <v>altai fiz</v>
      </c>
      <c r="K585" s="5" t="str">
        <f aca="false">IF(D585&lt;80,VLOOKUP(D585,R:S,2,FALSE()),CONCATENATE(D585," cm"))</f>
        <v>178 cm</v>
      </c>
      <c r="L585" s="17" t="n">
        <f aca="false">E585</f>
        <v>575</v>
      </c>
    </row>
    <row r="586" customFormat="false" ht="15" hidden="false" customHeight="false" outlineLevel="0" collapsed="false">
      <c r="A586" s="15" t="s">
        <v>826</v>
      </c>
      <c r="B586" s="15" t="s">
        <v>825</v>
      </c>
      <c r="C586" s="15" t="s">
        <v>798</v>
      </c>
      <c r="D586" s="15" t="n">
        <v>162</v>
      </c>
      <c r="E586" s="15" t="n">
        <v>575</v>
      </c>
      <c r="F586" s="15" t="s">
        <v>58</v>
      </c>
      <c r="G586" s="15" t="n">
        <v>1</v>
      </c>
      <c r="H586" s="5" t="str">
        <f aca="false">SUBSTITUTE(A586,"MS","",1)</f>
        <v>55003</v>
      </c>
      <c r="I586" s="5" t="str">
        <f aca="false">VLOOKUP(F586,O:P,2,FALSE())</f>
        <v>Skis rando</v>
      </c>
      <c r="J586" s="5" t="str">
        <f aca="false">CONCATENATE(B586," ",C586)</f>
        <v>altai fiz</v>
      </c>
      <c r="K586" s="5" t="str">
        <f aca="false">IF(D586&lt;80,VLOOKUP(D586,R:S,2,FALSE()),CONCATENATE(D586," cm"))</f>
        <v>162 cm</v>
      </c>
      <c r="L586" s="17" t="n">
        <f aca="false">E586</f>
        <v>575</v>
      </c>
    </row>
    <row r="587" customFormat="false" ht="15" hidden="false" customHeight="false" outlineLevel="0" collapsed="false">
      <c r="A587" s="15" t="s">
        <v>827</v>
      </c>
      <c r="B587" s="15" t="s">
        <v>368</v>
      </c>
      <c r="C587" s="15" t="s">
        <v>63</v>
      </c>
      <c r="D587" s="15" t="n">
        <v>36</v>
      </c>
      <c r="E587" s="15" t="n">
        <v>29</v>
      </c>
      <c r="F587" s="15" t="s">
        <v>63</v>
      </c>
      <c r="G587" s="15" t="n">
        <v>1</v>
      </c>
      <c r="H587" s="5" t="str">
        <f aca="false">SUBSTITUTE(A587,"MS","",1)</f>
        <v>55018</v>
      </c>
      <c r="I587" s="5" t="str">
        <f aca="false">VLOOKUP(F587,O:P,2,FALSE())</f>
        <v>Chaussures Snowboard</v>
      </c>
      <c r="J587" s="5" t="str">
        <f aca="false">CONCATENATE(B587," ",C587)</f>
        <v>rossignol boots</v>
      </c>
      <c r="K587" s="5" t="str">
        <f aca="false">IF(D587&lt;80,VLOOKUP(D587,R:S,2,FALSE()),CONCATENATE(D587," cm"))</f>
        <v>36 (EU) / 23 (MP)</v>
      </c>
      <c r="L587" s="17" t="n">
        <f aca="false">E587</f>
        <v>29</v>
      </c>
    </row>
    <row r="588" customFormat="false" ht="15" hidden="false" customHeight="false" outlineLevel="0" collapsed="false">
      <c r="A588" s="15" t="s">
        <v>828</v>
      </c>
      <c r="B588" s="15" t="s">
        <v>368</v>
      </c>
      <c r="C588" s="15" t="s">
        <v>63</v>
      </c>
      <c r="D588" s="15" t="n">
        <v>36</v>
      </c>
      <c r="E588" s="15" t="n">
        <v>29</v>
      </c>
      <c r="F588" s="15" t="s">
        <v>63</v>
      </c>
      <c r="G588" s="15" t="n">
        <v>1</v>
      </c>
      <c r="H588" s="5" t="str">
        <f aca="false">SUBSTITUTE(A588,"MS","",1)</f>
        <v>55019</v>
      </c>
      <c r="I588" s="5" t="str">
        <f aca="false">VLOOKUP(F588,O:P,2,FALSE())</f>
        <v>Chaussures Snowboard</v>
      </c>
      <c r="J588" s="5" t="str">
        <f aca="false">CONCATENATE(B588," ",C588)</f>
        <v>rossignol boots</v>
      </c>
      <c r="K588" s="5" t="str">
        <f aca="false">IF(D588&lt;80,VLOOKUP(D588,R:S,2,FALSE()),CONCATENATE(D588," cm"))</f>
        <v>36 (EU) / 23 (MP)</v>
      </c>
      <c r="L588" s="17" t="n">
        <f aca="false">E588</f>
        <v>29</v>
      </c>
    </row>
    <row r="589" customFormat="false" ht="15" hidden="false" customHeight="false" outlineLevel="0" collapsed="false">
      <c r="A589" s="15" t="s">
        <v>829</v>
      </c>
      <c r="B589" s="15" t="s">
        <v>368</v>
      </c>
      <c r="C589" s="15" t="s">
        <v>63</v>
      </c>
      <c r="D589" s="15" t="n">
        <v>38</v>
      </c>
      <c r="E589" s="15" t="n">
        <v>35</v>
      </c>
      <c r="F589" s="15" t="s">
        <v>63</v>
      </c>
      <c r="G589" s="15" t="n">
        <v>1</v>
      </c>
      <c r="H589" s="5" t="str">
        <f aca="false">SUBSTITUTE(A589,"MS","",1)</f>
        <v>55021</v>
      </c>
      <c r="I589" s="5" t="str">
        <f aca="false">VLOOKUP(F589,O:P,2,FALSE())</f>
        <v>Chaussures Snowboard</v>
      </c>
      <c r="J589" s="5" t="str">
        <f aca="false">CONCATENATE(B589," ",C589)</f>
        <v>rossignol boots</v>
      </c>
      <c r="K589" s="5" t="str">
        <f aca="false">IF(D589&lt;80,VLOOKUP(D589,R:S,2,FALSE()),CONCATENATE(D589," cm"))</f>
        <v>38 (EU) / 24 (MP)</v>
      </c>
      <c r="L589" s="17" t="n">
        <f aca="false">E589</f>
        <v>35</v>
      </c>
    </row>
    <row r="590" customFormat="false" ht="15" hidden="false" customHeight="false" outlineLevel="0" collapsed="false">
      <c r="A590" s="15" t="s">
        <v>830</v>
      </c>
      <c r="B590" s="15" t="s">
        <v>768</v>
      </c>
      <c r="C590" s="15" t="s">
        <v>63</v>
      </c>
      <c r="D590" s="15" t="n">
        <v>39</v>
      </c>
      <c r="E590" s="15" t="n">
        <v>39</v>
      </c>
      <c r="F590" s="15" t="s">
        <v>63</v>
      </c>
      <c r="G590" s="15" t="n">
        <v>1</v>
      </c>
      <c r="H590" s="5" t="str">
        <f aca="false">SUBSTITUTE(A590,"MS","",1)</f>
        <v>55024</v>
      </c>
      <c r="I590" s="5" t="str">
        <f aca="false">VLOOKUP(F590,O:P,2,FALSE())</f>
        <v>Chaussures Snowboard</v>
      </c>
      <c r="J590" s="5" t="str">
        <f aca="false">CONCATENATE(B590," ",C590)</f>
        <v>nitro boots</v>
      </c>
      <c r="K590" s="5" t="str">
        <f aca="false">IF(D590&lt;80,VLOOKUP(D590,R:S,2,FALSE()),CONCATENATE(D590," cm"))</f>
        <v>39 (EU) / 25 (MP)</v>
      </c>
      <c r="L590" s="17" t="n">
        <f aca="false">E590</f>
        <v>39</v>
      </c>
    </row>
    <row r="591" customFormat="false" ht="15" hidden="false" customHeight="false" outlineLevel="0" collapsed="false">
      <c r="A591" s="15" t="s">
        <v>831</v>
      </c>
      <c r="B591" s="15" t="s">
        <v>240</v>
      </c>
      <c r="C591" s="15" t="s">
        <v>63</v>
      </c>
      <c r="D591" s="15" t="n">
        <v>44</v>
      </c>
      <c r="E591" s="15" t="n">
        <v>35</v>
      </c>
      <c r="F591" s="15" t="s">
        <v>63</v>
      </c>
      <c r="G591" s="15" t="n">
        <v>1</v>
      </c>
      <c r="H591" s="5" t="str">
        <f aca="false">SUBSTITUTE(A591,"MS","",1)</f>
        <v>55028</v>
      </c>
      <c r="I591" s="5" t="str">
        <f aca="false">VLOOKUP(F591,O:P,2,FALSE())</f>
        <v>Chaussures Snowboard</v>
      </c>
      <c r="J591" s="5" t="str">
        <f aca="false">CONCATENATE(B591," ",C591)</f>
        <v>head boots</v>
      </c>
      <c r="K591" s="5" t="str">
        <f aca="false">IF(D591&lt;80,VLOOKUP(D591,R:S,2,FALSE()),CONCATENATE(D591," cm"))</f>
        <v>44 (EU) / 28 (MP)</v>
      </c>
      <c r="L591" s="17" t="n">
        <f aca="false">E591</f>
        <v>35</v>
      </c>
    </row>
    <row r="592" customFormat="false" ht="15" hidden="false" customHeight="false" outlineLevel="0" collapsed="false">
      <c r="A592" s="15" t="s">
        <v>832</v>
      </c>
      <c r="B592" s="15" t="s">
        <v>240</v>
      </c>
      <c r="C592" s="15" t="s">
        <v>63</v>
      </c>
      <c r="D592" s="15" t="n">
        <v>46</v>
      </c>
      <c r="E592" s="15" t="n">
        <v>39</v>
      </c>
      <c r="F592" s="15" t="s">
        <v>63</v>
      </c>
      <c r="G592" s="15" t="n">
        <v>1</v>
      </c>
      <c r="H592" s="5" t="str">
        <f aca="false">SUBSTITUTE(A592,"MS","",1)</f>
        <v>55029</v>
      </c>
      <c r="I592" s="5" t="str">
        <f aca="false">VLOOKUP(F592,O:P,2,FALSE())</f>
        <v>Chaussures Snowboard</v>
      </c>
      <c r="J592" s="5" t="str">
        <f aca="false">CONCATENATE(B592," ",C592)</f>
        <v>head boots</v>
      </c>
      <c r="K592" s="5" t="str">
        <f aca="false">IF(D592&lt;80,VLOOKUP(D592,R:S,2,FALSE()),CONCATENATE(D592," cm"))</f>
        <v>46 (EU) / 29 (MP)</v>
      </c>
      <c r="L592" s="17" t="n">
        <f aca="false">E592</f>
        <v>39</v>
      </c>
    </row>
    <row r="593" customFormat="false" ht="15" hidden="false" customHeight="false" outlineLevel="0" collapsed="false">
      <c r="A593" s="15" t="s">
        <v>833</v>
      </c>
      <c r="B593" s="15" t="s">
        <v>798</v>
      </c>
      <c r="C593" s="15" t="s">
        <v>825</v>
      </c>
      <c r="D593" s="15" t="n">
        <v>162</v>
      </c>
      <c r="E593" s="15" t="n">
        <v>550</v>
      </c>
      <c r="F593" s="15" t="s">
        <v>58</v>
      </c>
      <c r="G593" s="15" t="n">
        <v>1</v>
      </c>
      <c r="H593" s="5" t="str">
        <f aca="false">SUBSTITUTE(A593,"MS","",1)</f>
        <v>55031</v>
      </c>
      <c r="I593" s="5" t="str">
        <f aca="false">VLOOKUP(F593,O:P,2,FALSE())</f>
        <v>Skis rando</v>
      </c>
      <c r="J593" s="5" t="str">
        <f aca="false">CONCATENATE(B593," ",C593)</f>
        <v>fiz altai</v>
      </c>
      <c r="K593" s="5" t="str">
        <f aca="false">IF(D593&lt;80,VLOOKUP(D593,R:S,2,FALSE()),CONCATENATE(D593," cm"))</f>
        <v>162 cm</v>
      </c>
      <c r="L593" s="17" t="n">
        <f aca="false">E593</f>
        <v>550</v>
      </c>
    </row>
    <row r="594" customFormat="false" ht="15" hidden="false" customHeight="false" outlineLevel="0" collapsed="false">
      <c r="A594" s="15" t="s">
        <v>834</v>
      </c>
      <c r="B594" s="15" t="s">
        <v>798</v>
      </c>
      <c r="C594" s="15" t="s">
        <v>825</v>
      </c>
      <c r="D594" s="15" t="n">
        <v>178</v>
      </c>
      <c r="E594" s="15" t="n">
        <v>575</v>
      </c>
      <c r="F594" s="15" t="s">
        <v>58</v>
      </c>
      <c r="G594" s="15" t="n">
        <v>1</v>
      </c>
      <c r="H594" s="5" t="str">
        <f aca="false">SUBSTITUTE(A594,"MS","",1)</f>
        <v>55032</v>
      </c>
      <c r="I594" s="5" t="str">
        <f aca="false">VLOOKUP(F594,O:P,2,FALSE())</f>
        <v>Skis rando</v>
      </c>
      <c r="J594" s="5" t="str">
        <f aca="false">CONCATENATE(B594," ",C594)</f>
        <v>fiz altai</v>
      </c>
      <c r="K594" s="5" t="str">
        <f aca="false">IF(D594&lt;80,VLOOKUP(D594,R:S,2,FALSE()),CONCATENATE(D594," cm"))</f>
        <v>178 cm</v>
      </c>
      <c r="L594" s="17" t="n">
        <f aca="false">E594</f>
        <v>575</v>
      </c>
    </row>
    <row r="595" customFormat="false" ht="15" hidden="false" customHeight="false" outlineLevel="0" collapsed="false">
      <c r="A595" s="15" t="s">
        <v>835</v>
      </c>
      <c r="B595" s="15" t="s">
        <v>785</v>
      </c>
      <c r="C595" s="15" t="s">
        <v>836</v>
      </c>
      <c r="D595" s="15" t="n">
        <v>152</v>
      </c>
      <c r="E595" s="15" t="n">
        <v>395</v>
      </c>
      <c r="F595" s="15" t="s">
        <v>30</v>
      </c>
      <c r="G595" s="15" t="n">
        <v>1</v>
      </c>
      <c r="H595" s="5" t="str">
        <f aca="false">SUBSTITUTE(A595,"MS","",1)</f>
        <v>55040</v>
      </c>
      <c r="I595" s="5" t="str">
        <f aca="false">VLOOKUP(F595,O:P,2,FALSE())</f>
        <v>Skis Alpin </v>
      </c>
      <c r="J595" s="5" t="str">
        <f aca="false">CONCATENATE(B595," ",C595)</f>
        <v>BlackCrows vertis b</v>
      </c>
      <c r="K595" s="5" t="str">
        <f aca="false">IF(D595&lt;80,VLOOKUP(D595,R:S,2,FALSE()),CONCATENATE(D595," cm"))</f>
        <v>152 cm</v>
      </c>
      <c r="L595" s="17" t="n">
        <f aca="false">E595</f>
        <v>395</v>
      </c>
    </row>
    <row r="596" customFormat="false" ht="15" hidden="false" customHeight="false" outlineLevel="0" collapsed="false">
      <c r="A596" s="15" t="s">
        <v>837</v>
      </c>
      <c r="B596" s="15" t="s">
        <v>785</v>
      </c>
      <c r="C596" s="15" t="s">
        <v>836</v>
      </c>
      <c r="D596" s="15" t="n">
        <v>152</v>
      </c>
      <c r="E596" s="15" t="n">
        <v>445</v>
      </c>
      <c r="F596" s="15" t="s">
        <v>30</v>
      </c>
      <c r="G596" s="15" t="n">
        <v>1</v>
      </c>
      <c r="H596" s="5" t="str">
        <f aca="false">SUBSTITUTE(A596,"MS","",1)</f>
        <v>55042</v>
      </c>
      <c r="I596" s="5" t="str">
        <f aca="false">VLOOKUP(F596,O:P,2,FALSE())</f>
        <v>Skis Alpin </v>
      </c>
      <c r="J596" s="5" t="str">
        <f aca="false">CONCATENATE(B596," ",C596)</f>
        <v>BlackCrows vertis b</v>
      </c>
      <c r="K596" s="5" t="str">
        <f aca="false">IF(D596&lt;80,VLOOKUP(D596,R:S,2,FALSE()),CONCATENATE(D596," cm"))</f>
        <v>152 cm</v>
      </c>
      <c r="L596" s="17" t="n">
        <f aca="false">E596</f>
        <v>445</v>
      </c>
    </row>
    <row r="597" customFormat="false" ht="15" hidden="false" customHeight="false" outlineLevel="0" collapsed="false">
      <c r="A597" s="15" t="s">
        <v>838</v>
      </c>
      <c r="B597" s="15" t="s">
        <v>785</v>
      </c>
      <c r="C597" s="15" t="s">
        <v>793</v>
      </c>
      <c r="D597" s="15" t="n">
        <v>170</v>
      </c>
      <c r="E597" s="15" t="n">
        <v>425</v>
      </c>
      <c r="F597" s="15" t="s">
        <v>30</v>
      </c>
      <c r="G597" s="15" t="n">
        <v>1</v>
      </c>
      <c r="H597" s="5" t="str">
        <f aca="false">SUBSTITUTE(A597,"MS","",1)</f>
        <v>55055</v>
      </c>
      <c r="I597" s="5" t="str">
        <f aca="false">VLOOKUP(F597,O:P,2,FALSE())</f>
        <v>Skis Alpin </v>
      </c>
      <c r="J597" s="5" t="str">
        <f aca="false">CONCATENATE(B597," ",C597)</f>
        <v>BlackCrows vertis</v>
      </c>
      <c r="K597" s="5" t="str">
        <f aca="false">IF(D597&lt;80,VLOOKUP(D597,R:S,2,FALSE()),CONCATENATE(D597," cm"))</f>
        <v>170 cm</v>
      </c>
      <c r="L597" s="17" t="n">
        <f aca="false">E597</f>
        <v>425</v>
      </c>
    </row>
    <row r="598" customFormat="false" ht="15" hidden="false" customHeight="false" outlineLevel="0" collapsed="false">
      <c r="A598" s="15" t="s">
        <v>839</v>
      </c>
      <c r="B598" s="15" t="s">
        <v>785</v>
      </c>
      <c r="C598" s="15" t="s">
        <v>793</v>
      </c>
      <c r="D598" s="15" t="n">
        <v>170</v>
      </c>
      <c r="E598" s="15" t="n">
        <v>445</v>
      </c>
      <c r="F598" s="15" t="s">
        <v>30</v>
      </c>
      <c r="G598" s="15" t="n">
        <v>1</v>
      </c>
      <c r="H598" s="5" t="str">
        <f aca="false">SUBSTITUTE(A598,"MS","",1)</f>
        <v>55056</v>
      </c>
      <c r="I598" s="5" t="str">
        <f aca="false">VLOOKUP(F598,O:P,2,FALSE())</f>
        <v>Skis Alpin </v>
      </c>
      <c r="J598" s="5" t="str">
        <f aca="false">CONCATENATE(B598," ",C598)</f>
        <v>BlackCrows vertis</v>
      </c>
      <c r="K598" s="5" t="str">
        <f aca="false">IF(D598&lt;80,VLOOKUP(D598,R:S,2,FALSE()),CONCATENATE(D598," cm"))</f>
        <v>170 cm</v>
      </c>
      <c r="L598" s="17" t="n">
        <f aca="false">E598</f>
        <v>445</v>
      </c>
    </row>
    <row r="599" customFormat="false" ht="15" hidden="false" customHeight="false" outlineLevel="0" collapsed="false">
      <c r="A599" s="15" t="s">
        <v>840</v>
      </c>
      <c r="B599" s="15" t="s">
        <v>785</v>
      </c>
      <c r="C599" s="15" t="s">
        <v>793</v>
      </c>
      <c r="D599" s="15" t="n">
        <v>180</v>
      </c>
      <c r="E599" s="15" t="n">
        <v>425</v>
      </c>
      <c r="F599" s="15" t="s">
        <v>30</v>
      </c>
      <c r="G599" s="15" t="n">
        <v>1</v>
      </c>
      <c r="H599" s="5" t="str">
        <f aca="false">SUBSTITUTE(A599,"MS","",1)</f>
        <v>55057</v>
      </c>
      <c r="I599" s="5" t="str">
        <f aca="false">VLOOKUP(F599,O:P,2,FALSE())</f>
        <v>Skis Alpin </v>
      </c>
      <c r="J599" s="5" t="str">
        <f aca="false">CONCATENATE(B599," ",C599)</f>
        <v>BlackCrows vertis</v>
      </c>
      <c r="K599" s="5" t="str">
        <f aca="false">IF(D599&lt;80,VLOOKUP(D599,R:S,2,FALSE()),CONCATENATE(D599," cm"))</f>
        <v>180 cm</v>
      </c>
      <c r="L599" s="17" t="n">
        <f aca="false">E599</f>
        <v>425</v>
      </c>
    </row>
    <row r="600" customFormat="false" ht="15" hidden="false" customHeight="false" outlineLevel="0" collapsed="false">
      <c r="A600" s="15" t="s">
        <v>841</v>
      </c>
      <c r="B600" s="15" t="s">
        <v>785</v>
      </c>
      <c r="C600" s="15" t="s">
        <v>788</v>
      </c>
      <c r="D600" s="15" t="n">
        <v>159</v>
      </c>
      <c r="E600" s="15" t="n">
        <v>395</v>
      </c>
      <c r="F600" s="15" t="s">
        <v>30</v>
      </c>
      <c r="G600" s="15" t="n">
        <v>1</v>
      </c>
      <c r="H600" s="5" t="str">
        <f aca="false">SUBSTITUTE(A600,"MS","",1)</f>
        <v>55058</v>
      </c>
      <c r="I600" s="5" t="str">
        <f aca="false">VLOOKUP(F600,O:P,2,FALSE())</f>
        <v>Skis Alpin </v>
      </c>
      <c r="J600" s="5" t="str">
        <f aca="false">CONCATENATE(B600," ",C600)</f>
        <v>BlackCrows vertisB</v>
      </c>
      <c r="K600" s="5" t="str">
        <f aca="false">IF(D600&lt;80,VLOOKUP(D600,R:S,2,FALSE()),CONCATENATE(D600," cm"))</f>
        <v>159 cm</v>
      </c>
      <c r="L600" s="17" t="n">
        <f aca="false">E600</f>
        <v>395</v>
      </c>
    </row>
    <row r="601" customFormat="false" ht="15" hidden="false" customHeight="false" outlineLevel="0" collapsed="false">
      <c r="A601" s="15" t="s">
        <v>842</v>
      </c>
      <c r="B601" s="15" t="s">
        <v>785</v>
      </c>
      <c r="C601" s="15" t="s">
        <v>788</v>
      </c>
      <c r="D601" s="15" t="n">
        <v>159</v>
      </c>
      <c r="E601" s="15" t="n">
        <v>445</v>
      </c>
      <c r="F601" s="15" t="s">
        <v>30</v>
      </c>
      <c r="G601" s="15" t="n">
        <v>1</v>
      </c>
      <c r="H601" s="5" t="str">
        <f aca="false">SUBSTITUTE(A601,"MS","",1)</f>
        <v>55059</v>
      </c>
      <c r="I601" s="5" t="str">
        <f aca="false">VLOOKUP(F601,O:P,2,FALSE())</f>
        <v>Skis Alpin </v>
      </c>
      <c r="J601" s="5" t="str">
        <f aca="false">CONCATENATE(B601," ",C601)</f>
        <v>BlackCrows vertisB</v>
      </c>
      <c r="K601" s="5" t="str">
        <f aca="false">IF(D601&lt;80,VLOOKUP(D601,R:S,2,FALSE()),CONCATENATE(D601," cm"))</f>
        <v>159 cm</v>
      </c>
      <c r="L601" s="17" t="n">
        <f aca="false">E601</f>
        <v>445</v>
      </c>
    </row>
    <row r="602" customFormat="false" ht="15" hidden="false" customHeight="false" outlineLevel="0" collapsed="false">
      <c r="A602" s="15" t="s">
        <v>843</v>
      </c>
      <c r="B602" s="15" t="s">
        <v>785</v>
      </c>
      <c r="C602" s="15" t="s">
        <v>788</v>
      </c>
      <c r="D602" s="15" t="n">
        <v>169</v>
      </c>
      <c r="E602" s="15" t="n">
        <v>445</v>
      </c>
      <c r="F602" s="15" t="s">
        <v>30</v>
      </c>
      <c r="G602" s="15" t="n">
        <v>1</v>
      </c>
      <c r="H602" s="5" t="str">
        <f aca="false">SUBSTITUTE(A602,"MS","",1)</f>
        <v>55060</v>
      </c>
      <c r="I602" s="5" t="str">
        <f aca="false">VLOOKUP(F602,O:P,2,FALSE())</f>
        <v>Skis Alpin </v>
      </c>
      <c r="J602" s="5" t="str">
        <f aca="false">CONCATENATE(B602," ",C602)</f>
        <v>BlackCrows vertisB</v>
      </c>
      <c r="K602" s="5" t="str">
        <f aca="false">IF(D602&lt;80,VLOOKUP(D602,R:S,2,FALSE()),CONCATENATE(D602," cm"))</f>
        <v>169 cm</v>
      </c>
      <c r="L602" s="17" t="n">
        <f aca="false">E602</f>
        <v>445</v>
      </c>
    </row>
    <row r="603" customFormat="false" ht="15" hidden="false" customHeight="false" outlineLevel="0" collapsed="false">
      <c r="A603" s="15" t="s">
        <v>844</v>
      </c>
      <c r="B603" s="15" t="s">
        <v>785</v>
      </c>
      <c r="C603" s="15" t="s">
        <v>788</v>
      </c>
      <c r="D603" s="15" t="n">
        <v>169</v>
      </c>
      <c r="E603" s="15" t="n">
        <v>445</v>
      </c>
      <c r="F603" s="15" t="s">
        <v>30</v>
      </c>
      <c r="G603" s="15" t="n">
        <v>1</v>
      </c>
      <c r="H603" s="5" t="str">
        <f aca="false">SUBSTITUTE(A603,"MS","",1)</f>
        <v>55061</v>
      </c>
      <c r="I603" s="5" t="str">
        <f aca="false">VLOOKUP(F603,O:P,2,FALSE())</f>
        <v>Skis Alpin </v>
      </c>
      <c r="J603" s="5" t="str">
        <f aca="false">CONCATENATE(B603," ",C603)</f>
        <v>BlackCrows vertisB</v>
      </c>
      <c r="K603" s="5" t="str">
        <f aca="false">IF(D603&lt;80,VLOOKUP(D603,R:S,2,FALSE()),CONCATENATE(D603," cm"))</f>
        <v>169 cm</v>
      </c>
      <c r="L603" s="17" t="n">
        <f aca="false">E603</f>
        <v>445</v>
      </c>
    </row>
    <row r="604" customFormat="false" ht="15" hidden="false" customHeight="false" outlineLevel="0" collapsed="false">
      <c r="A604" s="15" t="s">
        <v>845</v>
      </c>
      <c r="B604" s="15" t="s">
        <v>785</v>
      </c>
      <c r="C604" s="15" t="s">
        <v>846</v>
      </c>
      <c r="D604" s="15" t="n">
        <v>149</v>
      </c>
      <c r="E604" s="15" t="n">
        <v>245</v>
      </c>
      <c r="F604" s="15" t="s">
        <v>42</v>
      </c>
      <c r="G604" s="15" t="n">
        <v>1</v>
      </c>
      <c r="H604" s="5" t="str">
        <f aca="false">SUBSTITUTE(A604,"MS","",1)</f>
        <v>55063</v>
      </c>
      <c r="I604" s="5" t="str">
        <f aca="false">VLOOKUP(F604,O:P,2,FALSE())</f>
        <v>Skis Alpin </v>
      </c>
      <c r="J604" s="5" t="str">
        <f aca="false">CONCATENATE(B604," ",C604)</f>
        <v>BlackCrows camox jr</v>
      </c>
      <c r="K604" s="5" t="str">
        <f aca="false">IF(D604&lt;80,VLOOKUP(D604,R:S,2,FALSE()),CONCATENATE(D604," cm"))</f>
        <v>149 cm</v>
      </c>
      <c r="L604" s="17" t="n">
        <f aca="false">E604</f>
        <v>245</v>
      </c>
    </row>
    <row r="605" customFormat="false" ht="15" hidden="false" customHeight="false" outlineLevel="0" collapsed="false">
      <c r="A605" s="15" t="s">
        <v>847</v>
      </c>
      <c r="B605" s="15" t="s">
        <v>105</v>
      </c>
      <c r="C605" s="15" t="s">
        <v>848</v>
      </c>
      <c r="D605" s="15" t="n">
        <v>163</v>
      </c>
      <c r="E605" s="15" t="n">
        <v>549</v>
      </c>
      <c r="F605" s="15" t="s">
        <v>30</v>
      </c>
      <c r="G605" s="15" t="n">
        <v>1</v>
      </c>
      <c r="H605" s="5" t="str">
        <f aca="false">SUBSTITUTE(A605,"MS","",1)</f>
        <v>55064</v>
      </c>
      <c r="I605" s="5" t="str">
        <f aca="false">VLOOKUP(F605,O:P,2,FALSE())</f>
        <v>Skis Alpin </v>
      </c>
      <c r="J605" s="5" t="str">
        <f aca="false">CONCATENATE(B605," ",C605)</f>
        <v>dynastar speed master</v>
      </c>
      <c r="K605" s="5" t="str">
        <f aca="false">IF(D605&lt;80,VLOOKUP(D605,R:S,2,FALSE()),CONCATENATE(D605," cm"))</f>
        <v>163 cm</v>
      </c>
      <c r="L605" s="17" t="n">
        <f aca="false">E605</f>
        <v>549</v>
      </c>
    </row>
    <row r="606" customFormat="false" ht="15" hidden="false" customHeight="false" outlineLevel="0" collapsed="false">
      <c r="A606" s="15" t="s">
        <v>849</v>
      </c>
      <c r="B606" s="15" t="s">
        <v>111</v>
      </c>
      <c r="C606" s="15" t="s">
        <v>130</v>
      </c>
      <c r="D606" s="15" t="n">
        <v>166</v>
      </c>
      <c r="E606" s="15" t="n">
        <v>145</v>
      </c>
      <c r="F606" s="15" t="s">
        <v>30</v>
      </c>
      <c r="G606" s="15" t="n">
        <v>1</v>
      </c>
      <c r="H606" s="5" t="str">
        <f aca="false">SUBSTITUTE(A606,"MS","",1)</f>
        <v>55065</v>
      </c>
      <c r="I606" s="5" t="str">
        <f aca="false">VLOOKUP(F606,O:P,2,FALSE())</f>
        <v>Skis Alpin </v>
      </c>
      <c r="J606" s="5" t="str">
        <f aca="false">CONCATENATE(B606," ",C606)</f>
        <v>elan inspire</v>
      </c>
      <c r="K606" s="5" t="str">
        <f aca="false">IF(D606&lt;80,VLOOKUP(D606,R:S,2,FALSE()),CONCATENATE(D606," cm"))</f>
        <v>166 cm</v>
      </c>
      <c r="L606" s="17" t="n">
        <f aca="false">E606</f>
        <v>145</v>
      </c>
    </row>
    <row r="607" customFormat="false" ht="15" hidden="false" customHeight="false" outlineLevel="0" collapsed="false">
      <c r="A607" s="15" t="s">
        <v>850</v>
      </c>
      <c r="B607" s="15" t="s">
        <v>785</v>
      </c>
      <c r="C607" s="15" t="s">
        <v>817</v>
      </c>
      <c r="D607" s="15" t="n">
        <v>178</v>
      </c>
      <c r="E607" s="15" t="n">
        <v>425</v>
      </c>
      <c r="F607" s="15" t="s">
        <v>30</v>
      </c>
      <c r="G607" s="15" t="n">
        <v>1</v>
      </c>
      <c r="H607" s="5" t="str">
        <f aca="false">SUBSTITUTE(A607,"MS","",1)</f>
        <v>55066</v>
      </c>
      <c r="I607" s="5" t="str">
        <f aca="false">VLOOKUP(F607,O:P,2,FALSE())</f>
        <v>Skis Alpin </v>
      </c>
      <c r="J607" s="5" t="str">
        <f aca="false">CONCATENATE(B607," ",C607)</f>
        <v>BlackCrows captis</v>
      </c>
      <c r="K607" s="5" t="str">
        <f aca="false">IF(D607&lt;80,VLOOKUP(D607,R:S,2,FALSE()),CONCATENATE(D607," cm"))</f>
        <v>178 cm</v>
      </c>
      <c r="L607" s="17" t="n">
        <f aca="false">E607</f>
        <v>425</v>
      </c>
    </row>
    <row r="608" customFormat="false" ht="15" hidden="false" customHeight="false" outlineLevel="0" collapsed="false">
      <c r="A608" s="15" t="s">
        <v>851</v>
      </c>
      <c r="B608" s="15" t="s">
        <v>785</v>
      </c>
      <c r="C608" s="15" t="s">
        <v>852</v>
      </c>
      <c r="D608" s="15" t="n">
        <v>173</v>
      </c>
      <c r="E608" s="15" t="n">
        <v>540</v>
      </c>
      <c r="F608" s="15" t="s">
        <v>30</v>
      </c>
      <c r="G608" s="15" t="n">
        <v>1</v>
      </c>
      <c r="H608" s="5" t="str">
        <f aca="false">SUBSTITUTE(A608,"MS","",1)</f>
        <v>55067</v>
      </c>
      <c r="I608" s="5" t="str">
        <f aca="false">VLOOKUP(F608,O:P,2,FALSE())</f>
        <v>Skis Alpin </v>
      </c>
      <c r="J608" s="5" t="str">
        <f aca="false">CONCATENATE(B608," ",C608)</f>
        <v>BlackCrows mirus</v>
      </c>
      <c r="K608" s="5" t="str">
        <f aca="false">IF(D608&lt;80,VLOOKUP(D608,R:S,2,FALSE()),CONCATENATE(D608," cm"))</f>
        <v>173 cm</v>
      </c>
      <c r="L608" s="17" t="n">
        <f aca="false">E608</f>
        <v>540</v>
      </c>
    </row>
    <row r="609" customFormat="false" ht="15" hidden="false" customHeight="false" outlineLevel="0" collapsed="false">
      <c r="A609" s="15" t="s">
        <v>853</v>
      </c>
      <c r="B609" s="15" t="s">
        <v>785</v>
      </c>
      <c r="C609" s="15" t="s">
        <v>852</v>
      </c>
      <c r="D609" s="15" t="n">
        <v>173</v>
      </c>
      <c r="E609" s="15" t="n">
        <v>540</v>
      </c>
      <c r="F609" s="15" t="s">
        <v>30</v>
      </c>
      <c r="G609" s="15" t="n">
        <v>1</v>
      </c>
      <c r="H609" s="5" t="str">
        <f aca="false">SUBSTITUTE(A609,"MS","",1)</f>
        <v>55068</v>
      </c>
      <c r="I609" s="5" t="str">
        <f aca="false">VLOOKUP(F609,O:P,2,FALSE())</f>
        <v>Skis Alpin </v>
      </c>
      <c r="J609" s="5" t="str">
        <f aca="false">CONCATENATE(B609," ",C609)</f>
        <v>BlackCrows mirus</v>
      </c>
      <c r="K609" s="5" t="str">
        <f aca="false">IF(D609&lt;80,VLOOKUP(D609,R:S,2,FALSE()),CONCATENATE(D609," cm"))</f>
        <v>173 cm</v>
      </c>
      <c r="L609" s="17" t="n">
        <f aca="false">E609</f>
        <v>540</v>
      </c>
    </row>
    <row r="610" customFormat="false" ht="15" hidden="false" customHeight="false" outlineLevel="0" collapsed="false">
      <c r="A610" s="15" t="s">
        <v>854</v>
      </c>
      <c r="B610" s="15" t="s">
        <v>785</v>
      </c>
      <c r="C610" s="15" t="s">
        <v>852</v>
      </c>
      <c r="D610" s="15" t="n">
        <v>168</v>
      </c>
      <c r="E610" s="15" t="n">
        <v>540</v>
      </c>
      <c r="F610" s="15" t="s">
        <v>30</v>
      </c>
      <c r="G610" s="15" t="n">
        <v>1</v>
      </c>
      <c r="H610" s="5" t="str">
        <f aca="false">SUBSTITUTE(A610,"MS","",1)</f>
        <v>55069</v>
      </c>
      <c r="I610" s="5" t="str">
        <f aca="false">VLOOKUP(F610,O:P,2,FALSE())</f>
        <v>Skis Alpin </v>
      </c>
      <c r="J610" s="5" t="str">
        <f aca="false">CONCATENATE(B610," ",C610)</f>
        <v>BlackCrows mirus</v>
      </c>
      <c r="K610" s="5" t="str">
        <f aca="false">IF(D610&lt;80,VLOOKUP(D610,R:S,2,FALSE()),CONCATENATE(D610," cm"))</f>
        <v>168 cm</v>
      </c>
      <c r="L610" s="17" t="n">
        <f aca="false">E610</f>
        <v>540</v>
      </c>
    </row>
    <row r="611" customFormat="false" ht="15" hidden="false" customHeight="false" outlineLevel="0" collapsed="false">
      <c r="A611" s="15" t="s">
        <v>855</v>
      </c>
      <c r="B611" s="15" t="s">
        <v>785</v>
      </c>
      <c r="C611" s="15" t="s">
        <v>852</v>
      </c>
      <c r="D611" s="15" t="n">
        <v>178</v>
      </c>
      <c r="E611" s="15" t="n">
        <v>540</v>
      </c>
      <c r="F611" s="15" t="s">
        <v>30</v>
      </c>
      <c r="G611" s="15" t="n">
        <v>1</v>
      </c>
      <c r="H611" s="5" t="str">
        <f aca="false">SUBSTITUTE(A611,"MS","",1)</f>
        <v>55070</v>
      </c>
      <c r="I611" s="5" t="str">
        <f aca="false">VLOOKUP(F611,O:P,2,FALSE())</f>
        <v>Skis Alpin </v>
      </c>
      <c r="J611" s="5" t="str">
        <f aca="false">CONCATENATE(B611," ",C611)</f>
        <v>BlackCrows mirus</v>
      </c>
      <c r="K611" s="5" t="str">
        <f aca="false">IF(D611&lt;80,VLOOKUP(D611,R:S,2,FALSE()),CONCATENATE(D611," cm"))</f>
        <v>178 cm</v>
      </c>
      <c r="L611" s="17" t="n">
        <f aca="false">E611</f>
        <v>540</v>
      </c>
    </row>
    <row r="612" customFormat="false" ht="15" hidden="false" customHeight="false" outlineLevel="0" collapsed="false">
      <c r="A612" s="15" t="s">
        <v>856</v>
      </c>
      <c r="B612" s="15" t="s">
        <v>785</v>
      </c>
      <c r="C612" s="15" t="s">
        <v>846</v>
      </c>
      <c r="D612" s="15" t="n">
        <v>157</v>
      </c>
      <c r="E612" s="15" t="n">
        <v>295</v>
      </c>
      <c r="F612" s="15" t="s">
        <v>30</v>
      </c>
      <c r="G612" s="15" t="n">
        <v>1</v>
      </c>
      <c r="H612" s="5" t="str">
        <f aca="false">SUBSTITUTE(A612,"MS","",1)</f>
        <v>55071</v>
      </c>
      <c r="I612" s="5" t="str">
        <f aca="false">VLOOKUP(F612,O:P,2,FALSE())</f>
        <v>Skis Alpin </v>
      </c>
      <c r="J612" s="5" t="str">
        <f aca="false">CONCATENATE(B612," ",C612)</f>
        <v>BlackCrows camox jr</v>
      </c>
      <c r="K612" s="5" t="str">
        <f aca="false">IF(D612&lt;80,VLOOKUP(D612,R:S,2,FALSE()),CONCATENATE(D612," cm"))</f>
        <v>157 cm</v>
      </c>
      <c r="L612" s="17" t="n">
        <f aca="false">E612</f>
        <v>295</v>
      </c>
    </row>
    <row r="613" customFormat="false" ht="15" hidden="false" customHeight="false" outlineLevel="0" collapsed="false">
      <c r="A613" s="15" t="s">
        <v>857</v>
      </c>
      <c r="B613" s="15" t="s">
        <v>358</v>
      </c>
      <c r="C613" s="15" t="s">
        <v>858</v>
      </c>
      <c r="D613" s="15" t="n">
        <v>37</v>
      </c>
      <c r="E613" s="15" t="n">
        <v>35</v>
      </c>
      <c r="F613" s="15" t="s">
        <v>51</v>
      </c>
      <c r="G613" s="15" t="n">
        <v>1</v>
      </c>
      <c r="H613" s="5" t="str">
        <f aca="false">SUBSTITUTE(A613,"MS","",1)</f>
        <v>55072</v>
      </c>
      <c r="I613" s="5" t="str">
        <f aca="false">VLOOKUP(F613,O:P,2,FALSE())</f>
        <v>Chaussures Alpin </v>
      </c>
      <c r="J613" s="5" t="str">
        <f aca="false">CONCATENATE(B613," ",C613)</f>
        <v>nordica speed 4-</v>
      </c>
      <c r="K613" s="5" t="str">
        <f aca="false">IF(D613&lt;80,VLOOKUP(D613,R:S,2,FALSE()),CONCATENATE(D613," cm"))</f>
        <v>37 (EU) / 23 (MP)</v>
      </c>
      <c r="L613" s="17" t="n">
        <f aca="false">E613</f>
        <v>35</v>
      </c>
    </row>
    <row r="614" customFormat="false" ht="15" hidden="false" customHeight="false" outlineLevel="0" collapsed="false">
      <c r="A614" s="15" t="s">
        <v>859</v>
      </c>
      <c r="B614" s="15" t="s">
        <v>358</v>
      </c>
      <c r="C614" s="15" t="s">
        <v>858</v>
      </c>
      <c r="D614" s="15" t="n">
        <v>37</v>
      </c>
      <c r="E614" s="15" t="n">
        <v>35</v>
      </c>
      <c r="F614" s="15" t="s">
        <v>51</v>
      </c>
      <c r="G614" s="15" t="n">
        <v>1</v>
      </c>
      <c r="H614" s="5" t="str">
        <f aca="false">SUBSTITUTE(A614,"MS","",1)</f>
        <v>55073</v>
      </c>
      <c r="I614" s="5" t="str">
        <f aca="false">VLOOKUP(F614,O:P,2,FALSE())</f>
        <v>Chaussures Alpin </v>
      </c>
      <c r="J614" s="5" t="str">
        <f aca="false">CONCATENATE(B614," ",C614)</f>
        <v>nordica speed 4-</v>
      </c>
      <c r="K614" s="5" t="str">
        <f aca="false">IF(D614&lt;80,VLOOKUP(D614,R:S,2,FALSE()),CONCATENATE(D614," cm"))</f>
        <v>37 (EU) / 23 (MP)</v>
      </c>
      <c r="L614" s="17" t="n">
        <f aca="false">E614</f>
        <v>35</v>
      </c>
    </row>
    <row r="615" customFormat="false" ht="15" hidden="false" customHeight="false" outlineLevel="0" collapsed="false">
      <c r="A615" s="15" t="s">
        <v>860</v>
      </c>
      <c r="B615" s="15" t="s">
        <v>358</v>
      </c>
      <c r="C615" s="15" t="s">
        <v>858</v>
      </c>
      <c r="D615" s="15" t="n">
        <v>38</v>
      </c>
      <c r="E615" s="15" t="n">
        <v>35</v>
      </c>
      <c r="F615" s="15" t="s">
        <v>51</v>
      </c>
      <c r="G615" s="15" t="n">
        <v>1</v>
      </c>
      <c r="H615" s="5" t="str">
        <f aca="false">SUBSTITUTE(A615,"MS","",1)</f>
        <v>55074</v>
      </c>
      <c r="I615" s="5" t="str">
        <f aca="false">VLOOKUP(F615,O:P,2,FALSE())</f>
        <v>Chaussures Alpin </v>
      </c>
      <c r="J615" s="5" t="str">
        <f aca="false">CONCATENATE(B615," ",C615)</f>
        <v>nordica speed 4-</v>
      </c>
      <c r="K615" s="5" t="str">
        <f aca="false">IF(D615&lt;80,VLOOKUP(D615,R:S,2,FALSE()),CONCATENATE(D615," cm"))</f>
        <v>38 (EU) / 24 (MP)</v>
      </c>
      <c r="L615" s="17" t="n">
        <f aca="false">E615</f>
        <v>35</v>
      </c>
    </row>
    <row r="616" customFormat="false" ht="15" hidden="false" customHeight="false" outlineLevel="0" collapsed="false">
      <c r="A616" s="15" t="s">
        <v>861</v>
      </c>
      <c r="B616" s="15" t="s">
        <v>358</v>
      </c>
      <c r="C616" s="15" t="s">
        <v>858</v>
      </c>
      <c r="D616" s="15" t="n">
        <v>38</v>
      </c>
      <c r="E616" s="15" t="n">
        <v>35</v>
      </c>
      <c r="F616" s="15" t="s">
        <v>51</v>
      </c>
      <c r="G616" s="15" t="n">
        <v>1</v>
      </c>
      <c r="H616" s="5" t="str">
        <f aca="false">SUBSTITUTE(A616,"MS","",1)</f>
        <v>55075</v>
      </c>
      <c r="I616" s="5" t="str">
        <f aca="false">VLOOKUP(F616,O:P,2,FALSE())</f>
        <v>Chaussures Alpin </v>
      </c>
      <c r="J616" s="5" t="str">
        <f aca="false">CONCATENATE(B616," ",C616)</f>
        <v>nordica speed 4-</v>
      </c>
      <c r="K616" s="5" t="str">
        <f aca="false">IF(D616&lt;80,VLOOKUP(D616,R:S,2,FALSE()),CONCATENATE(D616," cm"))</f>
        <v>38 (EU) / 24 (MP)</v>
      </c>
      <c r="L616" s="17" t="n">
        <f aca="false">E616</f>
        <v>35</v>
      </c>
    </row>
    <row r="617" customFormat="false" ht="15" hidden="false" customHeight="false" outlineLevel="0" collapsed="false">
      <c r="A617" s="15" t="s">
        <v>862</v>
      </c>
      <c r="B617" s="15" t="s">
        <v>358</v>
      </c>
      <c r="C617" s="15" t="s">
        <v>858</v>
      </c>
      <c r="D617" s="15" t="n">
        <v>32</v>
      </c>
      <c r="E617" s="15" t="n">
        <v>35</v>
      </c>
      <c r="F617" s="15" t="s">
        <v>51</v>
      </c>
      <c r="G617" s="15" t="n">
        <v>1</v>
      </c>
      <c r="H617" s="5" t="str">
        <f aca="false">SUBSTITUTE(A617,"MS","",1)</f>
        <v>55076</v>
      </c>
      <c r="I617" s="5" t="str">
        <f aca="false">VLOOKUP(F617,O:P,2,FALSE())</f>
        <v>Chaussures Alpin </v>
      </c>
      <c r="J617" s="5" t="str">
        <f aca="false">CONCATENATE(B617," ",C617)</f>
        <v>nordica speed 4-</v>
      </c>
      <c r="K617" s="5" t="str">
        <f aca="false">IF(D617&lt;80,VLOOKUP(D617,R:S,2,FALSE()),CONCATENATE(D617," cm"))</f>
        <v>32 (EU) / 20 (MP)</v>
      </c>
      <c r="L617" s="17" t="n">
        <f aca="false">E617</f>
        <v>35</v>
      </c>
    </row>
    <row r="618" customFormat="false" ht="15" hidden="false" customHeight="false" outlineLevel="0" collapsed="false">
      <c r="A618" s="15" t="s">
        <v>863</v>
      </c>
      <c r="B618" s="15" t="s">
        <v>358</v>
      </c>
      <c r="C618" s="15" t="s">
        <v>858</v>
      </c>
      <c r="D618" s="15" t="n">
        <v>32</v>
      </c>
      <c r="E618" s="15" t="n">
        <v>35</v>
      </c>
      <c r="F618" s="15" t="s">
        <v>51</v>
      </c>
      <c r="G618" s="15" t="n">
        <v>1</v>
      </c>
      <c r="H618" s="5" t="str">
        <f aca="false">SUBSTITUTE(A618,"MS","",1)</f>
        <v>55077</v>
      </c>
      <c r="I618" s="5" t="str">
        <f aca="false">VLOOKUP(F618,O:P,2,FALSE())</f>
        <v>Chaussures Alpin </v>
      </c>
      <c r="J618" s="5" t="str">
        <f aca="false">CONCATENATE(B618," ",C618)</f>
        <v>nordica speed 4-</v>
      </c>
      <c r="K618" s="5" t="str">
        <f aca="false">IF(D618&lt;80,VLOOKUP(D618,R:S,2,FALSE()),CONCATENATE(D618," cm"))</f>
        <v>32 (EU) / 20 (MP)</v>
      </c>
      <c r="L618" s="17" t="n">
        <f aca="false">E618</f>
        <v>35</v>
      </c>
    </row>
    <row r="619" customFormat="false" ht="15" hidden="false" customHeight="false" outlineLevel="0" collapsed="false">
      <c r="A619" s="15" t="s">
        <v>864</v>
      </c>
      <c r="B619" s="15" t="s">
        <v>358</v>
      </c>
      <c r="C619" s="15" t="s">
        <v>858</v>
      </c>
      <c r="D619" s="15" t="n">
        <v>33</v>
      </c>
      <c r="E619" s="15" t="n">
        <v>35</v>
      </c>
      <c r="F619" s="15" t="s">
        <v>51</v>
      </c>
      <c r="G619" s="15" t="n">
        <v>1</v>
      </c>
      <c r="H619" s="5" t="str">
        <f aca="false">SUBSTITUTE(A619,"MS","",1)</f>
        <v>55078</v>
      </c>
      <c r="I619" s="5" t="str">
        <f aca="false">VLOOKUP(F619,O:P,2,FALSE())</f>
        <v>Chaussures Alpin </v>
      </c>
      <c r="J619" s="5" t="str">
        <f aca="false">CONCATENATE(B619," ",C619)</f>
        <v>nordica speed 4-</v>
      </c>
      <c r="K619" s="5" t="str">
        <f aca="false">IF(D619&lt;80,VLOOKUP(D619,R:S,2,FALSE()),CONCATENATE(D619," cm"))</f>
        <v>33 (EU) / 21 (MP)</v>
      </c>
      <c r="L619" s="17" t="n">
        <f aca="false">E619</f>
        <v>35</v>
      </c>
    </row>
    <row r="620" customFormat="false" ht="15" hidden="false" customHeight="false" outlineLevel="0" collapsed="false">
      <c r="A620" s="15" t="s">
        <v>865</v>
      </c>
      <c r="B620" s="15" t="s">
        <v>358</v>
      </c>
      <c r="C620" s="15" t="s">
        <v>858</v>
      </c>
      <c r="D620" s="15" t="n">
        <v>35</v>
      </c>
      <c r="E620" s="15" t="n">
        <v>35</v>
      </c>
      <c r="F620" s="15" t="s">
        <v>51</v>
      </c>
      <c r="G620" s="15" t="n">
        <v>1</v>
      </c>
      <c r="H620" s="5" t="str">
        <f aca="false">SUBSTITUTE(A620,"MS","",1)</f>
        <v>55079</v>
      </c>
      <c r="I620" s="5" t="str">
        <f aca="false">VLOOKUP(F620,O:P,2,FALSE())</f>
        <v>Chaussures Alpin </v>
      </c>
      <c r="J620" s="5" t="str">
        <f aca="false">CONCATENATE(B620," ",C620)</f>
        <v>nordica speed 4-</v>
      </c>
      <c r="K620" s="5" t="str">
        <f aca="false">IF(D620&lt;80,VLOOKUP(D620,R:S,2,FALSE()),CONCATENATE(D620," cm"))</f>
        <v>35 (EU) / 22 (MP)</v>
      </c>
      <c r="L620" s="17" t="n">
        <f aca="false">E620</f>
        <v>35</v>
      </c>
    </row>
    <row r="621" customFormat="false" ht="15" hidden="false" customHeight="false" outlineLevel="0" collapsed="false">
      <c r="A621" s="15" t="s">
        <v>866</v>
      </c>
      <c r="B621" s="15" t="s">
        <v>358</v>
      </c>
      <c r="C621" s="15" t="s">
        <v>858</v>
      </c>
      <c r="D621" s="15" t="n">
        <v>36</v>
      </c>
      <c r="E621" s="15" t="n">
        <v>35</v>
      </c>
      <c r="F621" s="15" t="s">
        <v>51</v>
      </c>
      <c r="G621" s="15" t="n">
        <v>1</v>
      </c>
      <c r="H621" s="5" t="str">
        <f aca="false">SUBSTITUTE(A621,"MS","",1)</f>
        <v>55080</v>
      </c>
      <c r="I621" s="5" t="str">
        <f aca="false">VLOOKUP(F621,O:P,2,FALSE())</f>
        <v>Chaussures Alpin </v>
      </c>
      <c r="J621" s="5" t="str">
        <f aca="false">CONCATENATE(B621," ",C621)</f>
        <v>nordica speed 4-</v>
      </c>
      <c r="K621" s="5" t="str">
        <f aca="false">IF(D621&lt;80,VLOOKUP(D621,R:S,2,FALSE()),CONCATENATE(D621," cm"))</f>
        <v>36 (EU) / 23 (MP)</v>
      </c>
      <c r="L621" s="17" t="n">
        <f aca="false">E621</f>
        <v>35</v>
      </c>
    </row>
    <row r="622" customFormat="false" ht="15" hidden="false" customHeight="false" outlineLevel="0" collapsed="false">
      <c r="A622" s="15" t="s">
        <v>867</v>
      </c>
      <c r="B622" s="15" t="s">
        <v>358</v>
      </c>
      <c r="C622" s="15" t="s">
        <v>858</v>
      </c>
      <c r="D622" s="15" t="n">
        <v>39</v>
      </c>
      <c r="E622" s="15" t="n">
        <v>39</v>
      </c>
      <c r="F622" s="15" t="s">
        <v>51</v>
      </c>
      <c r="G622" s="15" t="n">
        <v>1</v>
      </c>
      <c r="H622" s="5" t="str">
        <f aca="false">SUBSTITUTE(A622,"MS","",1)</f>
        <v>55081</v>
      </c>
      <c r="I622" s="5" t="str">
        <f aca="false">VLOOKUP(F622,O:P,2,FALSE())</f>
        <v>Chaussures Alpin </v>
      </c>
      <c r="J622" s="5" t="str">
        <f aca="false">CONCATENATE(B622," ",C622)</f>
        <v>nordica speed 4-</v>
      </c>
      <c r="K622" s="5" t="str">
        <f aca="false">IF(D622&lt;80,VLOOKUP(D622,R:S,2,FALSE()),CONCATENATE(D622," cm"))</f>
        <v>39 (EU) / 25 (MP)</v>
      </c>
      <c r="L622" s="17" t="n">
        <f aca="false">E622</f>
        <v>39</v>
      </c>
    </row>
    <row r="623" customFormat="false" ht="15" hidden="false" customHeight="false" outlineLevel="0" collapsed="false">
      <c r="A623" s="15" t="s">
        <v>868</v>
      </c>
      <c r="B623" s="15" t="s">
        <v>358</v>
      </c>
      <c r="C623" s="15" t="s">
        <v>858</v>
      </c>
      <c r="D623" s="15" t="n">
        <v>40</v>
      </c>
      <c r="E623" s="15" t="n">
        <v>39</v>
      </c>
      <c r="F623" s="15" t="s">
        <v>51</v>
      </c>
      <c r="G623" s="15" t="n">
        <v>1</v>
      </c>
      <c r="H623" s="5" t="str">
        <f aca="false">SUBSTITUTE(A623,"MS","",1)</f>
        <v>55082</v>
      </c>
      <c r="I623" s="5" t="str">
        <f aca="false">VLOOKUP(F623,O:P,2,FALSE())</f>
        <v>Chaussures Alpin </v>
      </c>
      <c r="J623" s="5" t="str">
        <f aca="false">CONCATENATE(B623," ",C623)</f>
        <v>nordica speed 4-</v>
      </c>
      <c r="K623" s="5" t="str">
        <f aca="false">IF(D623&lt;80,VLOOKUP(D623,R:S,2,FALSE()),CONCATENATE(D623," cm"))</f>
        <v>40 (EU) / 25 (MP)</v>
      </c>
      <c r="L623" s="17" t="n">
        <f aca="false">E623</f>
        <v>39</v>
      </c>
    </row>
    <row r="624" customFormat="false" ht="15" hidden="false" customHeight="false" outlineLevel="0" collapsed="false">
      <c r="A624" s="15" t="s">
        <v>869</v>
      </c>
      <c r="B624" s="15" t="s">
        <v>358</v>
      </c>
      <c r="C624" s="15" t="s">
        <v>858</v>
      </c>
      <c r="D624" s="15" t="n">
        <v>41</v>
      </c>
      <c r="E624" s="15" t="n">
        <v>39</v>
      </c>
      <c r="F624" s="15" t="s">
        <v>51</v>
      </c>
      <c r="G624" s="15" t="n">
        <v>1</v>
      </c>
      <c r="H624" s="5" t="str">
        <f aca="false">SUBSTITUTE(A624,"MS","",1)</f>
        <v>55083</v>
      </c>
      <c r="I624" s="5" t="str">
        <f aca="false">VLOOKUP(F624,O:P,2,FALSE())</f>
        <v>Chaussures Alpin </v>
      </c>
      <c r="J624" s="5" t="str">
        <f aca="false">CONCATENATE(B624," ",C624)</f>
        <v>nordica speed 4-</v>
      </c>
      <c r="K624" s="5" t="str">
        <f aca="false">IF(D624&lt;80,VLOOKUP(D624,R:S,2,FALSE()),CONCATENATE(D624," cm"))</f>
        <v>41 (EU) / 26 (MP)</v>
      </c>
      <c r="L624" s="17" t="n">
        <f aca="false">E624</f>
        <v>39</v>
      </c>
    </row>
    <row r="625" customFormat="false" ht="15" hidden="false" customHeight="false" outlineLevel="0" collapsed="false">
      <c r="A625" s="15" t="s">
        <v>870</v>
      </c>
      <c r="B625" s="15" t="s">
        <v>358</v>
      </c>
      <c r="C625" s="15" t="s">
        <v>858</v>
      </c>
      <c r="D625" s="15" t="n">
        <v>42</v>
      </c>
      <c r="E625" s="15" t="n">
        <v>39</v>
      </c>
      <c r="F625" s="15" t="s">
        <v>51</v>
      </c>
      <c r="G625" s="15" t="n">
        <v>1</v>
      </c>
      <c r="H625" s="5" t="str">
        <f aca="false">SUBSTITUTE(A625,"MS","",1)</f>
        <v>55084</v>
      </c>
      <c r="I625" s="5" t="str">
        <f aca="false">VLOOKUP(F625,O:P,2,FALSE())</f>
        <v>Chaussures Alpin </v>
      </c>
      <c r="J625" s="5" t="str">
        <f aca="false">CONCATENATE(B625," ",C625)</f>
        <v>nordica speed 4-</v>
      </c>
      <c r="K625" s="5" t="str">
        <f aca="false">IF(D625&lt;80,VLOOKUP(D625,R:S,2,FALSE()),CONCATENATE(D625," cm"))</f>
        <v>42 (EU) / 26 (MP)</v>
      </c>
      <c r="L625" s="17" t="n">
        <f aca="false">E625</f>
        <v>39</v>
      </c>
    </row>
    <row r="626" customFormat="false" ht="15" hidden="false" customHeight="false" outlineLevel="0" collapsed="false">
      <c r="A626" s="15" t="s">
        <v>871</v>
      </c>
      <c r="B626" s="15" t="s">
        <v>358</v>
      </c>
      <c r="C626" s="15" t="s">
        <v>858</v>
      </c>
      <c r="D626" s="15" t="n">
        <v>42</v>
      </c>
      <c r="E626" s="15" t="n">
        <v>39</v>
      </c>
      <c r="F626" s="15" t="s">
        <v>51</v>
      </c>
      <c r="G626" s="15" t="n">
        <v>1</v>
      </c>
      <c r="H626" s="5" t="str">
        <f aca="false">SUBSTITUTE(A626,"MS","",1)</f>
        <v>55085</v>
      </c>
      <c r="I626" s="5" t="str">
        <f aca="false">VLOOKUP(F626,O:P,2,FALSE())</f>
        <v>Chaussures Alpin </v>
      </c>
      <c r="J626" s="5" t="str">
        <f aca="false">CONCATENATE(B626," ",C626)</f>
        <v>nordica speed 4-</v>
      </c>
      <c r="K626" s="5" t="str">
        <f aca="false">IF(D626&lt;80,VLOOKUP(D626,R:S,2,FALSE()),CONCATENATE(D626," cm"))</f>
        <v>42 (EU) / 26 (MP)</v>
      </c>
      <c r="L626" s="17" t="n">
        <f aca="false">E626</f>
        <v>39</v>
      </c>
    </row>
    <row r="627" customFormat="false" ht="15" hidden="false" customHeight="false" outlineLevel="0" collapsed="false">
      <c r="A627" s="15" t="s">
        <v>872</v>
      </c>
      <c r="B627" s="15" t="s">
        <v>358</v>
      </c>
      <c r="C627" s="15" t="s">
        <v>604</v>
      </c>
      <c r="D627" s="15" t="n">
        <v>46</v>
      </c>
      <c r="E627" s="15" t="n">
        <v>49</v>
      </c>
      <c r="F627" s="15" t="s">
        <v>46</v>
      </c>
      <c r="G627" s="15" t="n">
        <v>1</v>
      </c>
      <c r="H627" s="5" t="str">
        <f aca="false">SUBSTITUTE(A627,"MS","",1)</f>
        <v>55086</v>
      </c>
      <c r="I627" s="5" t="str">
        <f aca="false">VLOOKUP(F627,O:P,2,FALSE())</f>
        <v>Chaussures Alpin </v>
      </c>
      <c r="J627" s="5" t="str">
        <f aca="false">CONCATENATE(B627," ",C627)</f>
        <v>nordica hawk</v>
      </c>
      <c r="K627" s="5" t="str">
        <f aca="false">IF(D627&lt;80,VLOOKUP(D627,R:S,2,FALSE()),CONCATENATE(D627," cm"))</f>
        <v>46 (EU) / 29 (MP)</v>
      </c>
      <c r="L627" s="17" t="n">
        <f aca="false">E627</f>
        <v>49</v>
      </c>
    </row>
    <row r="628" customFormat="false" ht="15" hidden="false" customHeight="false" outlineLevel="0" collapsed="false">
      <c r="A628" s="15" t="s">
        <v>873</v>
      </c>
      <c r="B628" s="15" t="s">
        <v>444</v>
      </c>
      <c r="C628" s="15" t="s">
        <v>510</v>
      </c>
      <c r="D628" s="15" t="n">
        <v>45</v>
      </c>
      <c r="E628" s="15" t="n">
        <v>49</v>
      </c>
      <c r="F628" s="15" t="s">
        <v>46</v>
      </c>
      <c r="G628" s="15" t="n">
        <v>1</v>
      </c>
      <c r="H628" s="5" t="str">
        <f aca="false">SUBSTITUTE(A628,"MS","",1)</f>
        <v>55087</v>
      </c>
      <c r="I628" s="5" t="str">
        <f aca="false">VLOOKUP(F628,O:P,2,FALSE())</f>
        <v>Chaussures Alpin </v>
      </c>
      <c r="J628" s="5" t="str">
        <f aca="false">CONCATENATE(B628," ",C628)</f>
        <v>salomon xpro</v>
      </c>
      <c r="K628" s="5" t="str">
        <f aca="false">IF(D628&lt;80,VLOOKUP(D628,R:S,2,FALSE()),CONCATENATE(D628," cm"))</f>
        <v>45 (EU) / 29 (MP)</v>
      </c>
      <c r="L628" s="17" t="n">
        <f aca="false">E628</f>
        <v>49</v>
      </c>
    </row>
    <row r="629" customFormat="false" ht="15" hidden="false" customHeight="false" outlineLevel="0" collapsed="false">
      <c r="A629" s="15" t="s">
        <v>874</v>
      </c>
      <c r="B629" s="15" t="s">
        <v>368</v>
      </c>
      <c r="C629" s="15" t="s">
        <v>512</v>
      </c>
      <c r="D629" s="15" t="n">
        <v>45</v>
      </c>
      <c r="E629" s="15" t="n">
        <v>49</v>
      </c>
      <c r="F629" s="15" t="s">
        <v>46</v>
      </c>
      <c r="G629" s="15" t="n">
        <v>1</v>
      </c>
      <c r="H629" s="5" t="str">
        <f aca="false">SUBSTITUTE(A629,"MS","",1)</f>
        <v>55088</v>
      </c>
      <c r="I629" s="5" t="str">
        <f aca="false">VLOOKUP(F629,O:P,2,FALSE())</f>
        <v>Chaussures Alpin </v>
      </c>
      <c r="J629" s="5" t="str">
        <f aca="false">CONCATENATE(B629," ",C629)</f>
        <v>rossignol alltrack</v>
      </c>
      <c r="K629" s="5" t="str">
        <f aca="false">IF(D629&lt;80,VLOOKUP(D629,R:S,2,FALSE()),CONCATENATE(D629," cm"))</f>
        <v>45 (EU) / 29 (MP)</v>
      </c>
      <c r="L629" s="17" t="n">
        <f aca="false">E629</f>
        <v>49</v>
      </c>
    </row>
    <row r="630" customFormat="false" ht="15" hidden="false" customHeight="false" outlineLevel="0" collapsed="false">
      <c r="A630" s="15" t="s">
        <v>875</v>
      </c>
      <c r="B630" s="15" t="s">
        <v>368</v>
      </c>
      <c r="C630" s="15" t="s">
        <v>512</v>
      </c>
      <c r="D630" s="15" t="n">
        <v>46</v>
      </c>
      <c r="E630" s="15" t="n">
        <v>49</v>
      </c>
      <c r="F630" s="15" t="s">
        <v>46</v>
      </c>
      <c r="G630" s="15" t="n">
        <v>1</v>
      </c>
      <c r="H630" s="5" t="str">
        <f aca="false">SUBSTITUTE(A630,"MS","",1)</f>
        <v>55089</v>
      </c>
      <c r="I630" s="5" t="str">
        <f aca="false">VLOOKUP(F630,O:P,2,FALSE())</f>
        <v>Chaussures Alpin </v>
      </c>
      <c r="J630" s="5" t="str">
        <f aca="false">CONCATENATE(B630," ",C630)</f>
        <v>rossignol alltrack</v>
      </c>
      <c r="K630" s="5" t="str">
        <f aca="false">IF(D630&lt;80,VLOOKUP(D630,R:S,2,FALSE()),CONCATENATE(D630," cm"))</f>
        <v>46 (EU) / 29 (MP)</v>
      </c>
      <c r="L630" s="17" t="n">
        <f aca="false">E630</f>
        <v>49</v>
      </c>
    </row>
    <row r="631" customFormat="false" ht="15" hidden="false" customHeight="false" outlineLevel="0" collapsed="false">
      <c r="A631" s="15" t="s">
        <v>876</v>
      </c>
      <c r="B631" s="15" t="s">
        <v>368</v>
      </c>
      <c r="C631" s="15" t="s">
        <v>512</v>
      </c>
      <c r="D631" s="15" t="n">
        <v>46</v>
      </c>
      <c r="E631" s="15" t="n">
        <v>49</v>
      </c>
      <c r="F631" s="15" t="s">
        <v>46</v>
      </c>
      <c r="G631" s="15" t="n">
        <v>1</v>
      </c>
      <c r="H631" s="5" t="str">
        <f aca="false">SUBSTITUTE(A631,"MS","",1)</f>
        <v>55090</v>
      </c>
      <c r="I631" s="5" t="str">
        <f aca="false">VLOOKUP(F631,O:P,2,FALSE())</f>
        <v>Chaussures Alpin </v>
      </c>
      <c r="J631" s="5" t="str">
        <f aca="false">CONCATENATE(B631," ",C631)</f>
        <v>rossignol alltrack</v>
      </c>
      <c r="K631" s="5" t="str">
        <f aca="false">IF(D631&lt;80,VLOOKUP(D631,R:S,2,FALSE()),CONCATENATE(D631," cm"))</f>
        <v>46 (EU) / 29 (MP)</v>
      </c>
      <c r="L631" s="17" t="n">
        <f aca="false">E631</f>
        <v>49</v>
      </c>
    </row>
    <row r="632" customFormat="false" ht="15" hidden="false" customHeight="false" outlineLevel="0" collapsed="false">
      <c r="A632" s="15" t="s">
        <v>877</v>
      </c>
      <c r="B632" s="15" t="s">
        <v>368</v>
      </c>
      <c r="C632" s="15" t="s">
        <v>512</v>
      </c>
      <c r="D632" s="15" t="n">
        <v>47</v>
      </c>
      <c r="E632" s="15" t="n">
        <v>59</v>
      </c>
      <c r="F632" s="15" t="s">
        <v>46</v>
      </c>
      <c r="G632" s="15" t="n">
        <v>1</v>
      </c>
      <c r="H632" s="5" t="str">
        <f aca="false">SUBSTITUTE(A632,"MS","",1)</f>
        <v>55091</v>
      </c>
      <c r="I632" s="5" t="str">
        <f aca="false">VLOOKUP(F632,O:P,2,FALSE())</f>
        <v>Chaussures Alpin </v>
      </c>
      <c r="J632" s="5" t="str">
        <f aca="false">CONCATENATE(B632," ",C632)</f>
        <v>rossignol alltrack</v>
      </c>
      <c r="K632" s="5" t="str">
        <f aca="false">IF(D632&lt;80,VLOOKUP(D632,R:S,2,FALSE()),CONCATENATE(D632," cm"))</f>
        <v>47 (EU) / 30 (MP)</v>
      </c>
      <c r="L632" s="17" t="n">
        <f aca="false">E632</f>
        <v>59</v>
      </c>
    </row>
    <row r="633" customFormat="false" ht="15" hidden="false" customHeight="false" outlineLevel="0" collapsed="false">
      <c r="A633" s="15" t="s">
        <v>878</v>
      </c>
      <c r="B633" s="15" t="s">
        <v>358</v>
      </c>
      <c r="C633" s="15" t="s">
        <v>604</v>
      </c>
      <c r="D633" s="15" t="n">
        <v>45</v>
      </c>
      <c r="E633" s="15" t="n">
        <v>55</v>
      </c>
      <c r="F633" s="15" t="s">
        <v>46</v>
      </c>
      <c r="G633" s="15" t="n">
        <v>1</v>
      </c>
      <c r="H633" s="5" t="str">
        <f aca="false">SUBSTITUTE(A633,"MS","",1)</f>
        <v>55092</v>
      </c>
      <c r="I633" s="5" t="str">
        <f aca="false">VLOOKUP(F633,O:P,2,FALSE())</f>
        <v>Chaussures Alpin </v>
      </c>
      <c r="J633" s="5" t="str">
        <f aca="false">CONCATENATE(B633," ",C633)</f>
        <v>nordica hawk</v>
      </c>
      <c r="K633" s="5" t="str">
        <f aca="false">IF(D633&lt;80,VLOOKUP(D633,R:S,2,FALSE()),CONCATENATE(D633," cm"))</f>
        <v>45 (EU) / 29 (MP)</v>
      </c>
      <c r="L633" s="17" t="n">
        <f aca="false">E633</f>
        <v>55</v>
      </c>
    </row>
  </sheetData>
  <autoFilter ref="A:L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2025-10-13T13:25:07Z</dcterms:created>
  <dc:creator/>
  <dc:description/>
  <dc:language>fr-FR</dc:language>
  <cp:lastModifiedBy/>
  <dcterms:modified xsi:type="dcterms:W3CDTF">2025-11-12T13:00:59Z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a0db4f-8132-447e-a8c4-20d2ba9b8ca1_ActionId">
    <vt:lpwstr>fcd709e0-a7ed-4d2b-a056-b74d765e0888</vt:lpwstr>
  </property>
  <property fmtid="{D5CDD505-2E9C-101B-9397-08002B2CF9AE}" pid="3" name="MSIP_Label_e8a0db4f-8132-447e-a8c4-20d2ba9b8ca1_ContentBits">
    <vt:lpwstr>0</vt:lpwstr>
  </property>
  <property fmtid="{D5CDD505-2E9C-101B-9397-08002B2CF9AE}" pid="4" name="MSIP_Label_e8a0db4f-8132-447e-a8c4-20d2ba9b8ca1_Enabled">
    <vt:lpwstr>true</vt:lpwstr>
  </property>
  <property fmtid="{D5CDD505-2E9C-101B-9397-08002B2CF9AE}" pid="5" name="MSIP_Label_e8a0db4f-8132-447e-a8c4-20d2ba9b8ca1_Method">
    <vt:lpwstr>Standard</vt:lpwstr>
  </property>
  <property fmtid="{D5CDD505-2E9C-101B-9397-08002B2CF9AE}" pid="6" name="MSIP_Label_e8a0db4f-8132-447e-a8c4-20d2ba9b8ca1_Name">
    <vt:lpwstr>GENERAL</vt:lpwstr>
  </property>
  <property fmtid="{D5CDD505-2E9C-101B-9397-08002B2CF9AE}" pid="7" name="MSIP_Label_e8a0db4f-8132-447e-a8c4-20d2ba9b8ca1_SetDate">
    <vt:lpwstr>2025-10-13T13:25:23Z</vt:lpwstr>
  </property>
  <property fmtid="{D5CDD505-2E9C-101B-9397-08002B2CF9AE}" pid="8" name="MSIP_Label_e8a0db4f-8132-447e-a8c4-20d2ba9b8ca1_SiteId">
    <vt:lpwstr>3e6c416a-bb51-43e5-bb57-7e72d96922e9</vt:lpwstr>
  </property>
  <property fmtid="{D5CDD505-2E9C-101B-9397-08002B2CF9AE}" pid="9" name="MSIP_Label_e8a0db4f-8132-447e-a8c4-20d2ba9b8ca1_Tag">
    <vt:lpwstr>10, 3, 0, 1</vt:lpwstr>
  </property>
</Properties>
</file>